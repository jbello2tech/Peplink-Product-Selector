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rice Sheet" sheetId="1" r:id="rId4"/>
    <sheet state="visible" name="Data Resale" sheetId="2" r:id="rId5"/>
    <sheet state="visible" name="Advanced Configuration Services" sheetId="3" r:id="rId6"/>
    <sheet state="visible" name="EOL Device Software Skus" sheetId="4" r:id="rId7"/>
  </sheets>
  <definedNames>
    <definedName hidden="1" localSheetId="3" name="_xlnm._FilterDatabase">'EOL Device Software Skus'!$A$2:$E$173</definedName>
  </definedNames>
  <calcPr/>
  <extLst>
    <ext uri="GoogleSheetsCustomDataVersion2">
      <go:sheetsCustomData xmlns:go="http://customooxmlschemas.google.com/" r:id="rId8" roundtripDataChecksum="5UG1hEOn1y3utNb6ivLGM8Elxe5AfVJmTQYeKUMMVTU="/>
    </ext>
  </extLst>
</workbook>
</file>

<file path=xl/sharedStrings.xml><?xml version="1.0" encoding="utf-8"?>
<sst xmlns="http://schemas.openxmlformats.org/spreadsheetml/2006/main" count="4776" uniqueCount="1768">
  <si>
    <t>Product Name</t>
  </si>
  <si>
    <t xml:space="preserve">Short Description </t>
  </si>
  <si>
    <t>List Price</t>
  </si>
  <si>
    <t>Gold Price</t>
  </si>
  <si>
    <t>Registration Price</t>
  </si>
  <si>
    <t xml:space="preserve">Peplink Balance Series </t>
  </si>
  <si>
    <t>Peplink Balance Series</t>
  </si>
  <si>
    <t>BPL-310-PRM</t>
  </si>
  <si>
    <t>Balance 310</t>
  </si>
  <si>
    <t>SME Grade Multi-Gigabit Dual WAN Router</t>
  </si>
  <si>
    <t>PRM-C-1Y</t>
  </si>
  <si>
    <t>1-Year PrimeCare</t>
  </si>
  <si>
    <t>For Balance 310 - includes IC2 subscription</t>
  </si>
  <si>
    <t>N/A</t>
  </si>
  <si>
    <t>PRM-C-2Y</t>
  </si>
  <si>
    <t>2-Year PrimeCare</t>
  </si>
  <si>
    <t>PRM-C-4Y</t>
  </si>
  <si>
    <t>4-Year PrimeCare</t>
  </si>
  <si>
    <t>PCP-C-1Y</t>
  </si>
  <si>
    <t>1-Year PrimeCare+</t>
  </si>
  <si>
    <t>For Balance 310 - includes IC2, 24/7 email ticket support, and AHR</t>
  </si>
  <si>
    <t>PCP-C-2Y</t>
  </si>
  <si>
    <t>2-Year PrimeCare+</t>
  </si>
  <si>
    <t>PCP-C-4Y</t>
  </si>
  <si>
    <t>4-Year PrimeCare+</t>
  </si>
  <si>
    <t>LIC-OPN-WAN</t>
  </si>
  <si>
    <t>OpenVPN WAN License</t>
  </si>
  <si>
    <t>Activate 1x OpenVPN WAN</t>
  </si>
  <si>
    <t>LIC-2OPN-WAN</t>
  </si>
  <si>
    <t>2x OpenVPN WAN License</t>
  </si>
  <si>
    <t>Activate 2x OpenVPN WAN</t>
  </si>
  <si>
    <t>LIC-3OPN-WAN</t>
  </si>
  <si>
    <t>3x OpenVPN WAN License</t>
  </si>
  <si>
    <t>LIC-VWAN</t>
  </si>
  <si>
    <t>Virtual WAN Activation License</t>
  </si>
  <si>
    <t xml:space="preserve">Activate Virtual WAN for Selected Models. </t>
  </si>
  <si>
    <t>LIC-2VWAN</t>
  </si>
  <si>
    <t xml:space="preserve">Activate 2x Virtual WAN for Selected Models. </t>
  </si>
  <si>
    <t>LIC-3VWAN</t>
  </si>
  <si>
    <t xml:space="preserve">Activate 3x Virtual WAN for Selected Models. </t>
  </si>
  <si>
    <t>PVN-LC-20</t>
  </si>
  <si>
    <t>SpeedFusion Peers License Key</t>
  </si>
  <si>
    <t>Up to 50 SpeedFusion Peers</t>
  </si>
  <si>
    <t>SFN-LC-50</t>
  </si>
  <si>
    <r>
      <rPr>
        <rFont val="Calibri"/>
        <color theme="1"/>
        <sz val="10.0"/>
      </rPr>
      <t>&lt;Balance 310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</si>
  <si>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 xml:space="preserve">BPL-310-5GH-R-T-PRM </t>
  </si>
  <si>
    <t>BPL 310 5G (FirstNet Certified)</t>
  </si>
  <si>
    <t>Enterprise SD-WAN router for Medium Branches (FirstNet Certified)</t>
  </si>
  <si>
    <t>BPL-310-FBR-5GH-T-PRM</t>
  </si>
  <si>
    <t>BPL 310 Fiber 5G (FirstNet Certified)</t>
  </si>
  <si>
    <t>PRM-E-1Y</t>
  </si>
  <si>
    <t>For Balance 310 5G - PrimeCare</t>
  </si>
  <si>
    <t>PRM-E-2Y</t>
  </si>
  <si>
    <t>PRM-E-4Y</t>
  </si>
  <si>
    <t>PCP-E-1Y</t>
  </si>
  <si>
    <t>For Balance 310 5G - includes IC2, 24/7 email ticket support, and AHR</t>
  </si>
  <si>
    <t>PCP-E-2Y</t>
  </si>
  <si>
    <t>PCP-E-4Y</t>
  </si>
  <si>
    <r>
      <rPr>
        <rFont val="Calibri"/>
        <color theme="1"/>
        <sz val="10.0"/>
      </rPr>
      <t>&lt;Balance 310 5G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</si>
  <si>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BPL-580</t>
  </si>
  <si>
    <t>Balance 580</t>
  </si>
  <si>
    <t>Mid-sized Business Router</t>
  </si>
  <si>
    <t>FIPS-LC-B580</t>
  </si>
  <si>
    <t>FIPS License</t>
  </si>
  <si>
    <t>FIPS License for Balance 580</t>
  </si>
  <si>
    <t>SFN-LC-100</t>
  </si>
  <si>
    <t>100 SF Bonding Keys</t>
  </si>
  <si>
    <t>≤ 100 SpeedFusion Bonding peers for Balance 380/580</t>
  </si>
  <si>
    <t>ECP-BPL-580-1Y</t>
  </si>
  <si>
    <t>1-Year EssentialCare+</t>
  </si>
  <si>
    <t>For Balance 580 - includes IC2 subscription, 24/7 email ticket support, and AHR</t>
  </si>
  <si>
    <t>ECP-BPL-580-2Y</t>
  </si>
  <si>
    <t>2-Year EssentialCare+</t>
  </si>
  <si>
    <t>ECP-BPL-580-4Y</t>
  </si>
  <si>
    <t>4-Year EssentialCare+</t>
  </si>
  <si>
    <t>SVL-711</t>
  </si>
  <si>
    <t xml:space="preserve">1-Year EssentialCare </t>
  </si>
  <si>
    <t>For Balance 580 - includes IC2 subscription</t>
  </si>
  <si>
    <t>SVL-609</t>
  </si>
  <si>
    <t xml:space="preserve">2-Year EssentialCare </t>
  </si>
  <si>
    <t xml:space="preserve">Activate 1x OpenVPN WAN </t>
  </si>
  <si>
    <t>Activate 3x OpenVPN WAN</t>
  </si>
  <si>
    <r>
      <rPr>
        <rFont val="Calibri"/>
        <color theme="1"/>
        <sz val="10.0"/>
      </rPr>
      <t>&lt;Balance 580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</si>
  <si>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BPL-135</t>
  </si>
  <si>
    <t>Balance 1350</t>
  </si>
  <si>
    <t>Business Router for Enterprise</t>
  </si>
  <si>
    <t>FIPS-LC-B1350</t>
  </si>
  <si>
    <t>FIPS License for Balance 1350</t>
  </si>
  <si>
    <t>ECP-BPL-135-1Y</t>
  </si>
  <si>
    <t>For Balance 1350 - includes IC2, 24/7 email ticket support, and AHR</t>
  </si>
  <si>
    <t>ECP-BPL-135-2Y</t>
  </si>
  <si>
    <t>ECP-BPL-135-4Y</t>
  </si>
  <si>
    <t>SVL-712</t>
  </si>
  <si>
    <t>For Balance 1350 - includes IC2 subscription</t>
  </si>
  <si>
    <t>SVL-611</t>
  </si>
  <si>
    <r>
      <rPr>
        <rFont val="Calibri"/>
        <color theme="1"/>
        <sz val="10.0"/>
      </rPr>
      <t>&lt;Balance 1350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</si>
  <si>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BPL-1350-EC-PRM</t>
  </si>
  <si>
    <t>Balance 1350 EC</t>
  </si>
  <si>
    <t>Multi-WAN Router (8 GE Ports + 8 SFP Fiber Port) for Enterprise</t>
  </si>
  <si>
    <t>PRM-P-1Y</t>
  </si>
  <si>
    <t>For DOM-PRO-LR-5GN-PRM - includes IC2 subscription</t>
  </si>
  <si>
    <t>PRM-P-2Y</t>
  </si>
  <si>
    <t>PRM-P-4Y</t>
  </si>
  <si>
    <t>PCP-P-1Y</t>
  </si>
  <si>
    <t>For DOM-PRO-LR-5GN-PRM - includes IC2, 24/7 email ticket support, and AHR</t>
  </si>
  <si>
    <t>PCP-P-2Y</t>
  </si>
  <si>
    <t>PCP-P-4Y</t>
  </si>
  <si>
    <t>Activate 1x Virtual WAN</t>
  </si>
  <si>
    <t>2x Virtual WAN Activation License</t>
  </si>
  <si>
    <t>Activate 2x Virtual WAN</t>
  </si>
  <si>
    <t>3x Virtual WAN Activation License</t>
  </si>
  <si>
    <t>Activate 3x Virtual WAN</t>
  </si>
  <si>
    <t>LIC-10VWAN-MD</t>
  </si>
  <si>
    <t>10x Virtual WAN Activation License</t>
  </si>
  <si>
    <t>Activate 10x Virtual WAN</t>
  </si>
  <si>
    <r>
      <rPr>
        <rFont val="Calibri"/>
        <color theme="1"/>
        <sz val="10.0"/>
      </rPr>
      <t>&lt;Balance 1350 EC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</si>
  <si>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BPL-2500</t>
  </si>
  <si>
    <t>Balance 2500</t>
  </si>
  <si>
    <t>12x GE WAN, 8x GE LAN</t>
  </si>
  <si>
    <t>BPL-2500-SFP</t>
  </si>
  <si>
    <t>Balance 2500 SFP</t>
  </si>
  <si>
    <t>12x GE WAN, 2x 10G SFP+ LAN</t>
  </si>
  <si>
    <t>BPL-2500-2SFP</t>
  </si>
  <si>
    <t>Balance 2500 2SFP</t>
  </si>
  <si>
    <t>4x GE WAN, 2x 10G SFP+ WAN, 2x 10G SFP+ LAN</t>
  </si>
  <si>
    <t>BPL-2500-EC</t>
  </si>
  <si>
    <t>Balance 2500 EC</t>
  </si>
  <si>
    <t>16x GE WAN/LAN, 4x 10G SFP+ WAN/LAN, 1x USB WAN</t>
  </si>
  <si>
    <t>ECP-BPL-2500-1Y</t>
  </si>
  <si>
    <t>For Balance 2500 / 2500 EC - includes IC2, 24/7 email ticket support, and AHR</t>
  </si>
  <si>
    <t>ECP-BPL-2500-2Y</t>
  </si>
  <si>
    <t>ECP-BPL-2500-4Y</t>
  </si>
  <si>
    <t>SVL-730</t>
  </si>
  <si>
    <t>For Balance 2500 / 2500 EC - includes IC2 subscription</t>
  </si>
  <si>
    <t>SVL-612</t>
  </si>
  <si>
    <t>LIC-25VWAN-LG</t>
  </si>
  <si>
    <t>Activate 25 x Virtual WAN for BPL-2500-EC</t>
  </si>
  <si>
    <r>
      <rPr>
        <rFont val="Calibri"/>
        <color theme="1"/>
        <sz val="10.0"/>
      </rPr>
      <t>&lt;Balance 2500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</si>
  <si>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BPL-5000-EC-40G-PRM</t>
  </si>
  <si>
    <t>Balance 5000 EC (40G)</t>
  </si>
  <si>
    <t>Extreme Performance Multi-WAN Router 2x 1TB SSD, 70 Gbps throughput</t>
  </si>
  <si>
    <t>BPL-5000-EC-100G-PRM</t>
  </si>
  <si>
    <t>Balance 5000 EC (100G)</t>
  </si>
  <si>
    <t>Extreme Performance Multi-WAN Router 2x 1TB SSD, 110 Gbps throughput</t>
  </si>
  <si>
    <t>PRM-W-1Y</t>
  </si>
  <si>
    <t>For Balance 5000 EC - includes IC2 subscription</t>
  </si>
  <si>
    <t>PRM-W-2Y</t>
  </si>
  <si>
    <t>PRM-W-4Y</t>
  </si>
  <si>
    <t>PCP-W-1Y</t>
  </si>
  <si>
    <t>For Balance 5000 EC - includes IC2, 24/7 email ticket support, and AHR</t>
  </si>
  <si>
    <t>PCP-W-2Y</t>
  </si>
  <si>
    <t>PCP-W-4Y</t>
  </si>
  <si>
    <r>
      <rPr>
        <rFont val="Calibri"/>
        <color theme="1"/>
        <sz val="10.0"/>
      </rPr>
      <t>&lt;Balance 2500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</si>
  <si>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 xml:space="preserve">Peplink B Series </t>
  </si>
  <si>
    <t>B-ONE-T-PRM</t>
  </si>
  <si>
    <t>B One</t>
  </si>
  <si>
    <t>Wi-Fi 6, Recommended for 1-150 users</t>
  </si>
  <si>
    <t>B-ONE-PLUS-LTE-US-T-PRM</t>
  </si>
  <si>
    <t>B One Plus</t>
  </si>
  <si>
    <t>Single Cellular CAT-4 LTE Mobile Router, Wi-Fi 6, Recommended for 1-150 users</t>
  </si>
  <si>
    <t>B-ONE-5GN-T-PRM</t>
  </si>
  <si>
    <t>B One 5G</t>
  </si>
  <si>
    <t>Single Cellular 5G Mobile Router, Wi-Fi 6, Recommended for 1-150 users</t>
  </si>
  <si>
    <t>PRM-A-1Y</t>
  </si>
  <si>
    <t>For B One and B One Plus - includes IC2 subscription</t>
  </si>
  <si>
    <t>PRM-A-2Y</t>
  </si>
  <si>
    <t>PRM-A-4Y</t>
  </si>
  <si>
    <t>PCP-A-1Y</t>
  </si>
  <si>
    <t>For B One and B One Plus - includes IC2, 24/7 email ticket support, and AHR</t>
  </si>
  <si>
    <t>PCP-A-2Y</t>
  </si>
  <si>
    <t>PCP-A-4Y</t>
  </si>
  <si>
    <t>PRM-B-1Y</t>
  </si>
  <si>
    <t>For B One 5G - includes IC2 subscription</t>
  </si>
  <si>
    <t>PRM-B-2Y</t>
  </si>
  <si>
    <t>PRM-B-4Y</t>
  </si>
  <si>
    <t>PCP-B-1Y</t>
  </si>
  <si>
    <t>For B One 5G -  includes IC2, 24/7 email ticket support, and AHR</t>
  </si>
  <si>
    <t>PCP-B-2Y</t>
  </si>
  <si>
    <t>For B One 5G - includes IC2, 24/7 email ticket support, and AHR</t>
  </si>
  <si>
    <t>PCP-B-4Y</t>
  </si>
  <si>
    <r>
      <rPr>
        <rFont val="Calibri"/>
        <color theme="1"/>
        <sz val="10.0"/>
      </rPr>
      <t>&lt;B One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</si>
  <si>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MediaFast Caching Routers</t>
  </si>
  <si>
    <t>MFA-500-B</t>
  </si>
  <si>
    <t>MediaFast 500</t>
  </si>
  <si>
    <t>Caching Router for School or Campus</t>
  </si>
  <si>
    <t>MFA-500-LC-SF</t>
  </si>
  <si>
    <t>SpeedFusion Bonding</t>
  </si>
  <si>
    <t>SpeedFusion Bonding License Key for MFA-500</t>
  </si>
  <si>
    <t>MFA-500-LC-LB</t>
  </si>
  <si>
    <t>Load Balancing</t>
  </si>
  <si>
    <t>Load Balancing License Key for MFA-500</t>
  </si>
  <si>
    <t>ECP-MFA-500-1Y</t>
  </si>
  <si>
    <t>For MediaFast 500 - includes IC2, 24/7 email ticket support, and AHR</t>
  </si>
  <si>
    <t>ECP-MFA-500-2Y</t>
  </si>
  <si>
    <t>ECP-MFA-500-4Y</t>
  </si>
  <si>
    <t>SVL-773</t>
  </si>
  <si>
    <t>For MediaFast 500 - includes IC2 subscription</t>
  </si>
  <si>
    <t>SVL-673</t>
  </si>
  <si>
    <r>
      <rPr>
        <rFont val="Calibri"/>
        <color theme="1"/>
        <sz val="10.0"/>
      </rPr>
      <t>&lt;MediaFast 500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</si>
  <si>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MFA-750-B</t>
  </si>
  <si>
    <t>MediaFast 750</t>
  </si>
  <si>
    <t>ECP-MFA-750-1Y</t>
  </si>
  <si>
    <t>For MediaFast 750 - includes IC2, 24/7 email ticket support, and AHR</t>
  </si>
  <si>
    <t>ECP-MFA-750-2Y</t>
  </si>
  <si>
    <t>ECP-MFA-750-4Y</t>
  </si>
  <si>
    <t>SVL-779</t>
  </si>
  <si>
    <t>For MediaFast 750 - includes IC2 subscription</t>
  </si>
  <si>
    <t>SVL-679</t>
  </si>
  <si>
    <r>
      <rPr>
        <rFont val="Calibri"/>
        <color theme="1"/>
        <sz val="10.0"/>
      </rPr>
      <t>&lt;MediaFast 750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</si>
  <si>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MAX-HD2-MFA-LTEA-W-T</t>
  </si>
  <si>
    <t>Peplink HD2 LTEA MF</t>
  </si>
  <si>
    <t>LTEA Cellular Caching Router For Americas/EMEA</t>
  </si>
  <si>
    <t>FIPS-LC-HD2-MFA</t>
  </si>
  <si>
    <t>FIPS License for HD2-MFA</t>
  </si>
  <si>
    <t>MFA-HD2-LC-SF</t>
  </si>
  <si>
    <t>SpeedFusion Bonding Key</t>
  </si>
  <si>
    <t>SpeedFusion Bonding License MAX HD2 MediaFast</t>
  </si>
  <si>
    <t>ECP-MAX-HD2-MFA-LTEA-1Y</t>
  </si>
  <si>
    <t>For HD2 LTEA MediaFast - includes IC2, 24/7 email ticket support, and AHR</t>
  </si>
  <si>
    <t>ECP-MAX-HD2-MFA-LTEA-2Y</t>
  </si>
  <si>
    <t>ECP-MAX-HD2-MFA-LTEA-4Y</t>
  </si>
  <si>
    <t>SVL-434</t>
  </si>
  <si>
    <t>For HD2 LTEA MediaFast - includes IC2 subscription</t>
  </si>
  <si>
    <t>SVL-534</t>
  </si>
  <si>
    <r>
      <rPr>
        <rFont val="Calibri"/>
        <color theme="1"/>
        <sz val="10.0"/>
      </rPr>
      <t>&lt;HD2 MediaFast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</si>
  <si>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r>
      <rPr>
        <rFont val="Calibri"/>
        <color theme="1"/>
        <sz val="10.0"/>
      </rPr>
      <t>MAX-HD</t>
    </r>
    <r>
      <rPr>
        <rFont val="Calibri"/>
        <color theme="1"/>
        <sz val="10.0"/>
        <u/>
      </rPr>
      <t>4</t>
    </r>
    <r>
      <rPr>
        <rFont val="Calibri"/>
        <color theme="1"/>
        <sz val="10.0"/>
      </rPr>
      <t>-MFA-LTEA-W-T</t>
    </r>
  </si>
  <si>
    <t>Peplink HD4 LTEA MF</t>
  </si>
  <si>
    <t xml:space="preserve">LTEA Cellular Caching Router For Americas/EMEA  </t>
  </si>
  <si>
    <t>FIPS-LC-HD4-MFA</t>
  </si>
  <si>
    <t>FIPS License for HD4-MFA</t>
  </si>
  <si>
    <t>MAX-HD4-LC-5WAN</t>
  </si>
  <si>
    <t xml:space="preserve">WAN Port Activation </t>
  </si>
  <si>
    <t xml:space="preserve">5 WAN Port Activation License </t>
  </si>
  <si>
    <t>MFA-HD4-LC-SF</t>
  </si>
  <si>
    <t>SpeedFusion Bonding License MAX HD4 MediaFast</t>
  </si>
  <si>
    <t>MAX-HD-020-SPF</t>
  </si>
  <si>
    <t>SpeedFusion 20 Peers</t>
  </si>
  <si>
    <t>PepVPN/Speedfusion 20 Peers License</t>
  </si>
  <si>
    <t>ECP-MAX-HD4-MFA-LTEA-1Y</t>
  </si>
  <si>
    <t>For HD4 LTEA MediaFast - includes IC2, 24/7 email ticket support, and AHR</t>
  </si>
  <si>
    <t>ECP-MAX-HD4-MFA-LTEA-2Y</t>
  </si>
  <si>
    <t>ECP-MAX-HD4-MFA-LTEA-4Y</t>
  </si>
  <si>
    <t>SVL-435</t>
  </si>
  <si>
    <t>For HD4 LTEA MediaFast - includes IC2 subscription</t>
  </si>
  <si>
    <t>SVL-535</t>
  </si>
  <si>
    <r>
      <rPr>
        <rFont val="Calibri"/>
        <color theme="1"/>
        <sz val="10.0"/>
      </rPr>
      <t>&lt;HD4 MediaFast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</si>
  <si>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Peplink Modular SD-WAN Platforms</t>
  </si>
  <si>
    <t>EPX-M8</t>
  </si>
  <si>
    <t>Barebone Chassis</t>
  </si>
  <si>
    <t>EPX Chassis with LCD Module</t>
  </si>
  <si>
    <t>ECP-EPX-M8-1Y</t>
  </si>
  <si>
    <t>For EPX  - includes IC2 subscription, 24/7 email ticket support, and AHR</t>
  </si>
  <si>
    <t>ECP-EPX-M8-2Y</t>
  </si>
  <si>
    <t>ECP-EPX-M8-4Y</t>
  </si>
  <si>
    <t>For EPX</t>
  </si>
  <si>
    <t>SVL-506</t>
  </si>
  <si>
    <t>1-Year EssentialCare</t>
  </si>
  <si>
    <t>For EPX  - includes IC2 subscription</t>
  </si>
  <si>
    <t>SVL-508</t>
  </si>
  <si>
    <t>2-Year EssentialCare</t>
  </si>
  <si>
    <r>
      <rPr>
        <rFont val="Calibri"/>
        <color theme="1"/>
        <sz val="10.0"/>
      </rPr>
      <t>&lt;EPX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</si>
  <si>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BPL-SDX</t>
  </si>
  <si>
    <t>Base SDX Platform</t>
  </si>
  <si>
    <t>2x GbE WAN, 2x 10GbE SFP, 8x GbE LAN, 2x USB WAN</t>
  </si>
  <si>
    <t>BPL-SDX-PRO-M2</t>
  </si>
  <si>
    <t>Balance SDX Pro</t>
  </si>
  <si>
    <t>2x 1GbE WAN Ports, 2x 10GbE SFP WAN ports, 2x USB WAN</t>
  </si>
  <si>
    <t>BPL-SDX-PRO-M2-1TB</t>
  </si>
  <si>
    <t>Balance SDX Pro - 1TB SSD</t>
  </si>
  <si>
    <t>BPL-SDX-PRO-M2-2TB</t>
  </si>
  <si>
    <t>Balance SDX Pro - 2TB SSD</t>
  </si>
  <si>
    <t>SVL-494</t>
  </si>
  <si>
    <t>For Balance SDX  - includes IC2 subscription</t>
  </si>
  <si>
    <t>SVL-503</t>
  </si>
  <si>
    <t>ECP-BPL-SDX-1Y</t>
  </si>
  <si>
    <t>For Balance SDX  - includes IC2, 24/7 email ticket support, and AHR</t>
  </si>
  <si>
    <t xml:space="preserve">ECP-BPL-SDX-2Y </t>
  </si>
  <si>
    <t>For Balance SDX - includes IC2, 24/7 email ticket support, and AHR</t>
  </si>
  <si>
    <t>ECP-BPL-SDX-4Y</t>
  </si>
  <si>
    <t>SVL-BPL-SDX-PRO-M2-1Y</t>
  </si>
  <si>
    <t>For Balance SDX Pro  - includes IC2 subscription</t>
  </si>
  <si>
    <t>SVL-BPL-SDX-PRO-M2-2Y</t>
  </si>
  <si>
    <t>ECP-BPL-SDX-PRO-M2-1Y</t>
  </si>
  <si>
    <t>For Balance SDX Pro - includes IC2, 24/7 email ticket support, and AHR</t>
  </si>
  <si>
    <t>ECP-BPL-SDX-PRO-M2-2Y</t>
  </si>
  <si>
    <t>ECP-BPL-SDX-PRO-M2-4Y</t>
  </si>
  <si>
    <t>SVL-BPL-SDX-PRO-M2-1TB-1Y</t>
  </si>
  <si>
    <t>For Balance SDX Pro - 1TB SSD  - includes IC2 subscription</t>
  </si>
  <si>
    <t>SVL-BPL-SDX-PRO-M2-1TB-2Y</t>
  </si>
  <si>
    <t>ECP-BPL-SDX-PRO-M2-1TB-1Y</t>
  </si>
  <si>
    <t>For Balance SDX Pro - 1TB SSD - includes IC2, 24/7 email ticket support, and AHR</t>
  </si>
  <si>
    <t>ECP-BPL-SDX-PRO-M2-1TB-2Y</t>
  </si>
  <si>
    <t>ECP-BPL-SDX-PRO-M2-1TB-4Y</t>
  </si>
  <si>
    <t>SVL-BPL-SDX-PRO-M2-2TB-1Y</t>
  </si>
  <si>
    <t>For Balance SDX Pro - 2TB SSD  - includes IC2 subscription</t>
  </si>
  <si>
    <t>SVL-BPL-SDX-PRO-M2-2TB-2Y</t>
  </si>
  <si>
    <t>ECP-BPL-SDX-PRO-M2-2TB-1Y</t>
  </si>
  <si>
    <t>For Balance SDX Pro - 2TB SSD - includes IC2, 24/7 email ticket support, and AHR</t>
  </si>
  <si>
    <t>ECP-BPL-SDX-PRO-M2-2TB-2Y</t>
  </si>
  <si>
    <t>ECP-BPL-SDX-PRO-M2-2TB-4Y</t>
  </si>
  <si>
    <t xml:space="preserve">Activate 10 x Virtual WAN for Selected Models. </t>
  </si>
  <si>
    <r>
      <rPr>
        <rFont val="Calibri"/>
        <color theme="1"/>
        <sz val="10.0"/>
      </rPr>
      <t>&lt;SDX Licenses &amp; Warranties (click the</t>
    </r>
    <r>
      <rPr>
        <rFont val="Calibri"/>
        <b/>
        <color theme="1"/>
        <sz val="12.0"/>
      </rPr>
      <t xml:space="preserve"> +</t>
    </r>
    <r>
      <rPr>
        <rFont val="Calibri"/>
        <color theme="1"/>
        <sz val="12.0"/>
      </rPr>
      <t xml:space="preserve"> to open)</t>
    </r>
  </si>
  <si>
    <t>EPX and SDX Modules</t>
  </si>
  <si>
    <t>EXM-4LTEA-R</t>
  </si>
  <si>
    <t>4 CAT 12 Modems (FirstNet Certified)</t>
  </si>
  <si>
    <t>Flex Module: CAT 12 LTEA Modems (FirstNet Certified)</t>
  </si>
  <si>
    <t>EXM-3LTEA-W</t>
  </si>
  <si>
    <t>3 CAT LTEA Modems</t>
  </si>
  <si>
    <t xml:space="preserve">Flex Module with 3 LTEA Modems </t>
  </si>
  <si>
    <t>EXM-4F</t>
  </si>
  <si>
    <t>4 SFP+ Module</t>
  </si>
  <si>
    <t xml:space="preserve">Flex Module with 4 SFP+ ports </t>
  </si>
  <si>
    <t>EXM-8C</t>
  </si>
  <si>
    <t>8 GE Ethernet Module</t>
  </si>
  <si>
    <t>Flex Module with 8 Gigabit Ethernet ports</t>
  </si>
  <si>
    <t xml:space="preserve">EXM-2GLTE-G </t>
  </si>
  <si>
    <t>2 CAT 18 LTE Module</t>
  </si>
  <si>
    <t xml:space="preserve">Flex Module with 2 CAT 18 LTE Modems </t>
  </si>
  <si>
    <t>EXM-LCDT</t>
  </si>
  <si>
    <t>1TB MediaFast Module</t>
  </si>
  <si>
    <t>1TB SSD / Includes LCD Module</t>
  </si>
  <si>
    <t>EXM-SIM-BK56</t>
  </si>
  <si>
    <t>FlexModule Plus SIM Injector</t>
  </si>
  <si>
    <t>Expansion Module with 56 SIM slots</t>
  </si>
  <si>
    <t>EXM-2X5GH</t>
  </si>
  <si>
    <t>FlexModule Plus 2x 5G (FirstNet Certified)</t>
  </si>
  <si>
    <t>Expansion Module with 2x 5G Modules (FirstNet Certified)</t>
  </si>
  <si>
    <t>EPX-LC-MFA</t>
  </si>
  <si>
    <t>MediaFast License Key</t>
  </si>
  <si>
    <t>with Content Hub &amp; Docker (requires LCD Module)</t>
  </si>
  <si>
    <t>SVL-EXM-4LTEA-1Y</t>
  </si>
  <si>
    <t>For FlexModule Plus 4x LTEA</t>
  </si>
  <si>
    <t>SVL-EXM-4LTEA-2Y</t>
  </si>
  <si>
    <t>SVL-507</t>
  </si>
  <si>
    <t>for FlexModule Plus</t>
  </si>
  <si>
    <t>SVL-509</t>
  </si>
  <si>
    <t>ECP-EXM-1Y</t>
  </si>
  <si>
    <t>ECP-EXM-2Y</t>
  </si>
  <si>
    <t>ECP-EXM-4Y</t>
  </si>
  <si>
    <t>SVL-EXM-SIM-BK56-1Y</t>
  </si>
  <si>
    <t>for FlexModule Plus SIM Injector</t>
  </si>
  <si>
    <t>SVL-EXM-SIM-BK56-2Y</t>
  </si>
  <si>
    <t>ECP-EXM-SIM-BK56-1Y</t>
  </si>
  <si>
    <t>ECP-EXM-SIM-BK56-2Y</t>
  </si>
  <si>
    <t>ECP-EXM-SIM-BK56-4Y</t>
  </si>
  <si>
    <t>SVL-EXM-2X5G-1Y</t>
  </si>
  <si>
    <t>for FlexModule Plus 2x 5G</t>
  </si>
  <si>
    <t>SVL-EXM-2X5G-2Y</t>
  </si>
  <si>
    <t>ECP-EXM-2X5G-1Y</t>
  </si>
  <si>
    <t>ECP-EXM-2X5G-2Y</t>
  </si>
  <si>
    <t>ECP-EXM-2X5G-4Y</t>
  </si>
  <si>
    <r>
      <rPr>
        <rFont val="Calibri"/>
        <color theme="1"/>
        <sz val="10.0"/>
      </rPr>
      <t>&lt;EXM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</si>
  <si>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Peplink X Series Modular SD-WAN Platforms</t>
  </si>
  <si>
    <t>BPL-310X-LTEA-R-T</t>
  </si>
  <si>
    <t>BPL 310X CAT 12 (FirstNet Certified)</t>
  </si>
  <si>
    <t>BPL-310X-GLTE-S-T</t>
  </si>
  <si>
    <t>BPL 310X CAT 20</t>
  </si>
  <si>
    <t>Enterprise SD-WAN router for Medium Branches</t>
  </si>
  <si>
    <t>BPL-310X-5GH-T</t>
  </si>
  <si>
    <t>Balance 310X 5G (FirstNet Certified)</t>
  </si>
  <si>
    <t>Advanced 5G Wireless SD-WAN Router (FirstNet Certified)</t>
  </si>
  <si>
    <t>ECP-BPL-310X-LTEA-1Y</t>
  </si>
  <si>
    <t>For Balance 310X (Cat 12  / Cat 20)  - includes IC2, 24/7 email support, and AHR</t>
  </si>
  <si>
    <t>ECP-BPL-310X-LTEA-2Y</t>
  </si>
  <si>
    <t>ECP-BPL-310X-LTEA-4Y</t>
  </si>
  <si>
    <t xml:space="preserve">SVL-321 </t>
  </si>
  <si>
    <t>for Balance 310X (Cat 12 / Cat 20) - includes IC2 subscription</t>
  </si>
  <si>
    <t xml:space="preserve">SVL-923 </t>
  </si>
  <si>
    <t>ECP-BPL-310X-5G-1Y</t>
  </si>
  <si>
    <t>for Balance 310X (5G) - includes IC2, 24/7 email ticket support, and AHR</t>
  </si>
  <si>
    <t>ECP-BPL-310X-5G-2Y</t>
  </si>
  <si>
    <t>ECP-BPL-310X-5G-4Y</t>
  </si>
  <si>
    <t>SVL-BPL-310X-5G-1Y</t>
  </si>
  <si>
    <t>for Balance 310X (5G) - includes IC2 subscription</t>
  </si>
  <si>
    <t>SVL-BPL-310X-5G-2Y</t>
  </si>
  <si>
    <t>1x Virtual WAN Activation License</t>
  </si>
  <si>
    <t>For MAX HD2 Mini LTE</t>
  </si>
  <si>
    <t>SFN-LC-30</t>
  </si>
  <si>
    <t>Enable up to 30 SpeedFusion Bonding peers</t>
  </si>
  <si>
    <r>
      <rPr>
        <rFont val="Calibri"/>
        <color theme="1"/>
        <sz val="10.0"/>
      </rPr>
      <t>&lt;310X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</si>
  <si>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BPL-580X</t>
  </si>
  <si>
    <t>Balance 580X</t>
  </si>
  <si>
    <t>ECP-BPL-580X-1Y</t>
  </si>
  <si>
    <t>For Balance 580X - includes IC2, 24/7 email ticket support, and AHR</t>
  </si>
  <si>
    <t>ECP-BPL-580X-2Y</t>
  </si>
  <si>
    <t>ECP-BPL-580X-4Y</t>
  </si>
  <si>
    <t>SVL-BPL-580X-1Y</t>
  </si>
  <si>
    <t>For Balance 580X - includes IC2 subscription</t>
  </si>
  <si>
    <t>SVL-BPL-580X-2Y</t>
  </si>
  <si>
    <r>
      <rPr>
        <rFont val="Calibri"/>
        <color theme="1"/>
        <sz val="10.0"/>
      </rPr>
      <t>&lt;Balance 380X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</si>
  <si>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X Series Modules for BPL-021X, BPL-380X, BPL-580X</t>
  </si>
  <si>
    <t>EXM-MINI-1LTEA-R</t>
  </si>
  <si>
    <t>1 CAT 12 FirstNet Modem (FirstNet Certified)</t>
  </si>
  <si>
    <t>Expansion Module with 1x CAT 12 modem For Americas/EMEA (FirstNet Cert.)</t>
  </si>
  <si>
    <t>EXM-MINI-1LTEA-K</t>
  </si>
  <si>
    <t>1 CAT 12 Global Modem</t>
  </si>
  <si>
    <t>Expansion Module with 1x CAT 12 modem For Global</t>
  </si>
  <si>
    <t>EXM-MINI-1GLTE-G</t>
  </si>
  <si>
    <t>1 CAT 18 Modem</t>
  </si>
  <si>
    <t>Expansion Module with 1x CAT 18 modem For Americas/EMEA</t>
  </si>
  <si>
    <t>EXM-MINI-1VDSL</t>
  </si>
  <si>
    <t>1 VDSL Module</t>
  </si>
  <si>
    <t>Expansion Module with 1 x VDSL</t>
  </si>
  <si>
    <t>EXM-MINI-15GH</t>
  </si>
  <si>
    <t>1 5G Modem (FirstNet Certified)</t>
  </si>
  <si>
    <t>FlexModule Mini 5G (FirstNet Certified)</t>
  </si>
  <si>
    <t>EXM-MINI-LORA</t>
  </si>
  <si>
    <t>1 LoRaWAN Modem (for Balance 20X)</t>
  </si>
  <si>
    <t>FlexModule Mini LoRaWAN (Compatible with Balance 20X)</t>
  </si>
  <si>
    <t>SVL-517</t>
  </si>
  <si>
    <t>For FlexModule Mini (non 5G version) - includes IC2 subscription</t>
  </si>
  <si>
    <t>SVL-536</t>
  </si>
  <si>
    <t>SVL-EXM-MINI-5G-1Y</t>
  </si>
  <si>
    <t>For FlexModule Mini 5G - includes IC2 subscription</t>
  </si>
  <si>
    <t>SVL-EXM-MINI-5G-2Y</t>
  </si>
  <si>
    <t>ECP-C-1Y</t>
  </si>
  <si>
    <t>For FlexModule Mini (non 5G version) -  includes IC2, 24/7 email support, AHR</t>
  </si>
  <si>
    <t>ECP-C-2Y</t>
  </si>
  <si>
    <t>ECP-C-4Y</t>
  </si>
  <si>
    <t>ECP-D-1Y</t>
  </si>
  <si>
    <t>For FlexModule Mini 5G -  includes IC2, 24/7 email ticket support, and AHR</t>
  </si>
  <si>
    <t>ECP-D-2Y</t>
  </si>
  <si>
    <t>ECP-D-4Y</t>
  </si>
  <si>
    <r>
      <rPr>
        <rFont val="Calibri"/>
        <color theme="1"/>
        <sz val="10.0"/>
      </rPr>
      <t>&lt;EXM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</si>
  <si>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Peplink MAX BR Cellular Routers</t>
  </si>
  <si>
    <t>MAX-BR1-MINI-LTE-US-T-PRM</t>
  </si>
  <si>
    <t>MAX BR1 Mini LTE (FirstNet Certified)</t>
  </si>
  <si>
    <t>Single Cellular Cat 4 Router - PrimeCare (FirstNet Certified)</t>
  </si>
  <si>
    <t>MAX-BR1-MINI-LTE-US-T-M-PRM</t>
  </si>
  <si>
    <t>MAX BR1 Mini Core (No WiFi/GPS)</t>
  </si>
  <si>
    <t>Single Cellular Cat 4 -  No WiFi, No GPS</t>
  </si>
  <si>
    <t>MAX-BR1-MINI-LTEA-US-T-PRM</t>
  </si>
  <si>
    <t>MAX BR1 Mini LTEA (FirstNet Certified)</t>
  </si>
  <si>
    <t>Single Cellular Cat 7 Router - PrimeCare (FirstNet Certified)</t>
  </si>
  <si>
    <t>MAX-BR1-MINI-LTEA-US-DC-T-PRM</t>
  </si>
  <si>
    <t>MAX BR1 Mini LTEA (DC Power)</t>
  </si>
  <si>
    <t>MAX-BR1-MINI-M2M-LTE-US-T-PRM</t>
  </si>
  <si>
    <t>MAX BR1 Mini M2M</t>
  </si>
  <si>
    <t>Single Cellular Cat 4 - 9-pin serial connector / WiFi / GPS</t>
  </si>
  <si>
    <t>MAX-BR1-MINI-5GN-T-M-PRM</t>
  </si>
  <si>
    <t>MAX BR1 Mini 5G (No WiFi/GPS)</t>
  </si>
  <si>
    <t>Single Cellular 5G Mobile Router - No WiFi, No GPS</t>
  </si>
  <si>
    <t>MAX-BR1-MINI-5GN-T-PRM</t>
  </si>
  <si>
    <t>MAX BR1 Mini 5G with WiFi (No GPS)</t>
  </si>
  <si>
    <t>Single Cellular 5G Mobile Router / WiFi / No GPS</t>
  </si>
  <si>
    <t>MAX-BR1-MINI-LTE-MX-T-PRM</t>
  </si>
  <si>
    <t>MAX BR1 Mini LTE (Latin America)</t>
  </si>
  <si>
    <t>Single Cellular Cat 4 Router - PrimeCare (Latin America)</t>
  </si>
  <si>
    <t>MAX-BR2-MICRO-LTE-US-PRM</t>
  </si>
  <si>
    <t>MAX BR2 Micro LTE</t>
  </si>
  <si>
    <t>2x Embedded 2x CAT-4 LTE Modems</t>
  </si>
  <si>
    <t>For MAX BR1 Mini HW3 and BR1 Mini 5G - includes IC2 subscription</t>
  </si>
  <si>
    <t>For MAX BR1 Mini HW3 and BR1 Mini 5G - includes IC2, 24/7 email ticket support, AHR</t>
  </si>
  <si>
    <t>MAX-BR1-MINI-LC-FP</t>
  </si>
  <si>
    <t>Feature Pack for BR1 Mini</t>
  </si>
  <si>
    <t>Wan Activation, Wifi Wan, Hot Failover WNA, GPIO</t>
  </si>
  <si>
    <t>MAX-BR1-MINI-BD-FP-2Y</t>
  </si>
  <si>
    <t>Bundle Offer</t>
  </si>
  <si>
    <t>Upfront add-on (Includes 2 Years of Primecare and MAX-BR1-MINI-FP)</t>
  </si>
  <si>
    <t>MAX-BR1-MINI-BD-FP-4Y</t>
  </si>
  <si>
    <t>Upfront add-on (Includes 4 Years of Primecare and MAX-BR1-MINI-FP)</t>
  </si>
  <si>
    <t>MAX-BR1-MINI-BD-FP-PLUS-2Y</t>
  </si>
  <si>
    <t>Upfront add-on (Includes 2 Years of Primecare Plus and MAX-BR1-MINI-FP)</t>
  </si>
  <si>
    <t>MAX-BR1-MINI-BD-FP-PLUS-4Y</t>
  </si>
  <si>
    <t>Upfront add-on (Includes 4 Years of Primecare Plus and MAX-BR1-MINI-FP)</t>
  </si>
  <si>
    <r>
      <rPr>
        <rFont val="Calibri"/>
        <color theme="1"/>
        <sz val="10.0"/>
      </rPr>
      <t>&lt;BR1 Mini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</si>
  <si>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MAX-BR1-PRO-GLTE-S-T-PRM</t>
  </si>
  <si>
    <t>MAX BR1 Pro LTEA</t>
  </si>
  <si>
    <t>Single Cellular Cat 20 Mobile Router</t>
  </si>
  <si>
    <t>MAX-BR2-LTE-US-T-PRM</t>
  </si>
  <si>
    <t>MAX BR2 LTE</t>
  </si>
  <si>
    <t>2x Embedded CAT 4 LTE Modems</t>
  </si>
  <si>
    <t>MAX-BR2-LTEA-US-T-PRM</t>
  </si>
  <si>
    <t>MAX BR2 LTEA</t>
  </si>
  <si>
    <t>2x Embedded CAT-7 LTEA Modems – North America</t>
  </si>
  <si>
    <t>MAX-BR1-PRO-5GN-T-PRM</t>
  </si>
  <si>
    <t>MAX BR1 Pro 5G (FirstNet Certified)</t>
  </si>
  <si>
    <t>Single Cellular 5G Mobile Router – North America</t>
  </si>
  <si>
    <t>MAX-BR1-PRO-5GK-T-PRM</t>
  </si>
  <si>
    <t>Single Cellular 5G Mobile Router – North America (POE input capability)</t>
  </si>
  <si>
    <t>MAX-BR2-PRO-5GK-T-PRM</t>
  </si>
  <si>
    <t>MAX BR2 Pro 5G (FirstNet Certified)</t>
  </si>
  <si>
    <t>2x Embedded 5G Modems – North America (FirstNet Certified)</t>
  </si>
  <si>
    <t>For MAX BR1 PRO CAT 20 and BR2 LTE - includes IC2 subscription</t>
  </si>
  <si>
    <t>For MAX BR1 PRO CAT 20 and BR2 LTE -  includes IC2, 24/7 email ticket support, and AHR</t>
  </si>
  <si>
    <t>For MAX BR1 PRO CAT 20 and BR2 LTE - includes IC2, 24/7 email ticket support, and AHR</t>
  </si>
  <si>
    <t>For MAX BR1 Pro 5G - includes IC2 subscription</t>
  </si>
  <si>
    <t>For MAX BR1 Pro 5G - includes IC2, 24/7 email ticket support, and AHR</t>
  </si>
  <si>
    <t>For MAX BR2 Pro 5G - includes IC2 subscription</t>
  </si>
  <si>
    <t>For MAX BR2 Pro 5G - includes IC2, 24/7 email ticket support, and AHR</t>
  </si>
  <si>
    <r>
      <rPr>
        <rFont val="Calibri"/>
        <color theme="1"/>
        <sz val="10.0"/>
      </rPr>
      <t>&lt;BR Pro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</si>
  <si>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Peplink Transit Series Cellular Routers</t>
  </si>
  <si>
    <t>MAX-TST-PRO-DUO-LTEA-Q-T-PRM</t>
  </si>
  <si>
    <t>MAX Transit Duo Pro (FirstNet Certified)</t>
  </si>
  <si>
    <t>For the Americas / EMEA - PrimeCare (FirstNet Certified)</t>
  </si>
  <si>
    <t>PRM-D-1Y</t>
  </si>
  <si>
    <t>For MAX Transit Duo Line - includes IC2 subscription</t>
  </si>
  <si>
    <t>PRM-D-2Y</t>
  </si>
  <si>
    <t>PRM-D-4Y</t>
  </si>
  <si>
    <t>PCP-D-1Y</t>
  </si>
  <si>
    <t>For MAX Transit Duo Line - includes IC2, 24/7 email ticket support, and AHR</t>
  </si>
  <si>
    <t>PCP-D-2Y</t>
  </si>
  <si>
    <t>PCP-D-4Y</t>
  </si>
  <si>
    <t>MAX-TST-PRO-DUO-BD-SP-2Y</t>
  </si>
  <si>
    <t>2-Year Bundle Offer</t>
  </si>
  <si>
    <t>2.5TB SFC Protect / 30GB SFC 5G/LTE data / 2 Years of Prime Care</t>
  </si>
  <si>
    <t>MAX-TST-PRO-DUO-BD-SP-4Y</t>
  </si>
  <si>
    <t>4-Year Bundle Offer</t>
  </si>
  <si>
    <t>2.5TB SFC Protect / 30GB SFC 5G/LTE data / 4 Years of Prime Care</t>
  </si>
  <si>
    <t>SFC-CN-SP</t>
  </si>
  <si>
    <t>SpeedFusion Connect Pack</t>
  </si>
  <si>
    <t>2.5TB SFC Protect / 30GB SFC 5G/LTE data / Valid 365 days</t>
  </si>
  <si>
    <t>&lt;Peplink Transit Duo Licenses &amp; Warranties (click the + to open)</t>
  </si>
  <si>
    <t>Peplink MAX HD Multi-Cellular Routers</t>
  </si>
  <si>
    <t>MAX-HD2-MINI-LTE-MX-T</t>
  </si>
  <si>
    <t>MAX HD2 Mini LTEA Latin America</t>
  </si>
  <si>
    <t>For Latin America - 2x Embedded 4G LTE Modem, 4x WAN, 1x USB, 1x Ethernet</t>
  </si>
  <si>
    <t>SVL-761</t>
  </si>
  <si>
    <t>For MAX HD2 Mini LTE - includes IC2 subscription</t>
  </si>
  <si>
    <t>SVL-643</t>
  </si>
  <si>
    <t>ECP-MAX-HD2-MINI-LTE-1Y</t>
  </si>
  <si>
    <t>For MAX HD2 Mini LTE - includes IC2, 24/7 email ticket support, and AHR</t>
  </si>
  <si>
    <t>ECP-MAX-HD2-MINI-LTE-2Y</t>
  </si>
  <si>
    <t>ECP-MAX-HD2-MINI-LTE-4Y</t>
  </si>
  <si>
    <t>ICS-B04-1Y</t>
  </si>
  <si>
    <t>1-Year InControl 2 Subscription</t>
  </si>
  <si>
    <t>AP-LC-50</t>
  </si>
  <si>
    <t xml:space="preserve">50 AP Support License Key </t>
  </si>
  <si>
    <t>&lt;Peplink HD2 Mini LTE Licenses &amp; Warranties (click the + to open)</t>
  </si>
  <si>
    <t>MAX-HD2-MINI-LTEA-W-T</t>
  </si>
  <si>
    <t xml:space="preserve">MAX HD2 Mini LTEA </t>
  </si>
  <si>
    <t>For the Americas / EMEA</t>
  </si>
  <si>
    <t>ECP-MAX-HD2-MINI-LTEA-1Y</t>
  </si>
  <si>
    <t>For MAX HD2 Mini LTEA - includes IC2, 24/7 email ticket support, and AHR</t>
  </si>
  <si>
    <t>ECP-MAX-HD2-MINI-LTEA-2Y</t>
  </si>
  <si>
    <t>ECP-MAX-HD2-MINI-LTEA-4Y</t>
  </si>
  <si>
    <t>SVL-431</t>
  </si>
  <si>
    <t>For MAX HD2 Mini LTEA - includes IC2 subscription</t>
  </si>
  <si>
    <t>SVL-531</t>
  </si>
  <si>
    <t>20 Peer SF License</t>
  </si>
  <si>
    <t>Up to 20 SpeedFusion Peers</t>
  </si>
  <si>
    <t>&lt;Peplink HD2 Mini LTEA Licenses &amp; Warranties (click the + to open)</t>
  </si>
  <si>
    <t>Peplink MAX HD MBX Multi-Cellular Routers</t>
  </si>
  <si>
    <t xml:space="preserve">MAX-HD2-MBX-LTEA-R-T </t>
  </si>
  <si>
    <t>MAX HD2 MBX CAT 12</t>
  </si>
  <si>
    <t xml:space="preserve">2 CAT 12 Modems / 5G Upgradable </t>
  </si>
  <si>
    <t>MAX-HD2-MBX-GLTE-G-T</t>
  </si>
  <si>
    <t>MAX HD2 MBX CAT 18</t>
  </si>
  <si>
    <t xml:space="preserve">2 CAT 18 Modems / 5G Upgradable </t>
  </si>
  <si>
    <t>MAX-HD2-MBX-5GH-T</t>
  </si>
  <si>
    <t>MAX HD2 MBX 5G</t>
  </si>
  <si>
    <t>2x Embedded 5G Modem (Global)</t>
  </si>
  <si>
    <t>SVL-MAX-HD2-MBX-LTEA-RK-1Y</t>
  </si>
  <si>
    <t>for MAX HD2 MBX LTEA (CAT-12) - includes IC2 subscription</t>
  </si>
  <si>
    <t>SVL-MAX-HD2-MBX-LTEA-RK-2Y</t>
  </si>
  <si>
    <t>ECP-MAX-HD2-MBX-LTEA-RK-1Y</t>
  </si>
  <si>
    <t>for MAX HD2 MBX LTEA (CAT-12) - includes IC2, 24/7 email support, and AHR</t>
  </si>
  <si>
    <t>ECP-MAX-HD2-MBX-LTEA-RK-2Y</t>
  </si>
  <si>
    <t>ECP-MAX-HD2-MBX-LTEA-RK-4Y</t>
  </si>
  <si>
    <t>ECP-MAX-HD2-MBX-GLTE-G-1Y</t>
  </si>
  <si>
    <t>for MAX HD2 MBX LTEA (CAT 18) - includes IC2, 24/7 email support, and AHR</t>
  </si>
  <si>
    <t>ECP-MAX-HD2-MBX-GLTE-G-2Y</t>
  </si>
  <si>
    <t>ECP-MAX-HD2-MBX-GLTE-G-4Y</t>
  </si>
  <si>
    <t>SVL-721</t>
  </si>
  <si>
    <t>for MAX HD2 MBX LTEA (CAT 18) - includes IC2 subscription</t>
  </si>
  <si>
    <t>SVL-710</t>
  </si>
  <si>
    <t>SVL-MAX-HD2-MBX-5G-1Y</t>
  </si>
  <si>
    <t>for MAX HD2 MBX LTEA (5G) - includes IC2 subscription</t>
  </si>
  <si>
    <t>SVL-MAX-HD2-MBX-5G-2Y</t>
  </si>
  <si>
    <t>ECP-MAX-HD2-MBX-5G-1Y</t>
  </si>
  <si>
    <t>for MAX HD2 MBX LTEA (5G) - includes IC2, 24/7 email ticket support, and AHR</t>
  </si>
  <si>
    <t>ECP-MAX-HD2-MBX-5G-2Y</t>
  </si>
  <si>
    <t>ECP-MAX-HD2-MBX-5G-4Y</t>
  </si>
  <si>
    <t>&lt;Peplink HD2-MBX Licenses &amp; Warranties (click the + to open)</t>
  </si>
  <si>
    <t xml:space="preserve">MAX-HD4-MBX-LTEA-R-T </t>
  </si>
  <si>
    <t>MAX HD4 MBX (FirstNet Certified)</t>
  </si>
  <si>
    <t>Quad 4G LTE-A Pro Mobile Powerhouse (FirstNet Certified)</t>
  </si>
  <si>
    <t xml:space="preserve">MAX-HD4-MBX-GLTE-S-T </t>
  </si>
  <si>
    <t>MAX HD4 MBX CAT 20</t>
  </si>
  <si>
    <t>4x CAT20 Modems</t>
  </si>
  <si>
    <t xml:space="preserve">MAX-HD4-MBX-LTEA-K-T </t>
  </si>
  <si>
    <t>MAX HD4 MBX LTEA</t>
  </si>
  <si>
    <t xml:space="preserve">Quad 4G LTE-A Pro Mobile Powerhouse </t>
  </si>
  <si>
    <t>MAX-HD4-MBX-5GN-T</t>
  </si>
  <si>
    <t>MAX HD4 MBX 5G</t>
  </si>
  <si>
    <t>4x 5G Modems (Global)</t>
  </si>
  <si>
    <t>MAX-HD4-MBX-5GK-T</t>
  </si>
  <si>
    <t>4x 5G Modems (North America)</t>
  </si>
  <si>
    <t>ECP-MAX-HD4-MBX-LTEA-1Y</t>
  </si>
  <si>
    <t>For MAX HD4 MBX LTEA - includes IC2, 24/7 email ticket support, and AHR</t>
  </si>
  <si>
    <t>ECP-MAX-HD4-MBX-LTEA-2Y</t>
  </si>
  <si>
    <t>ECP-MAX-HD4-MBX-LTEA-4Y</t>
  </si>
  <si>
    <t>SVL-497</t>
  </si>
  <si>
    <t>For MAX HD4 MBX LTEA - includes IC2 subscription</t>
  </si>
  <si>
    <t>SVL-549</t>
  </si>
  <si>
    <t>ECP-MAX-HD4-MBX-GLTE-G-1Y</t>
  </si>
  <si>
    <t>For MAX HD4 MBX LTEA (CAT 20) - includes IC2, 24/7 email support, and AHR</t>
  </si>
  <si>
    <t>ECP-MAX-HD4-MBX-GLTE-G-2Y</t>
  </si>
  <si>
    <t>ECP-MAX-HD4-MBX-GLTE-G-4Y</t>
  </si>
  <si>
    <t xml:space="preserve">SVL-510 </t>
  </si>
  <si>
    <t>For MAX HD4 MBX LTEA (CAT 20) - includes IC2 subscription</t>
  </si>
  <si>
    <t xml:space="preserve">SVL-708 </t>
  </si>
  <si>
    <t>SVL-MAX-HD4-MBX-5G-1Y</t>
  </si>
  <si>
    <t>For MAX HD4 MBX 5G - includes IC2 subscription</t>
  </si>
  <si>
    <t>SVL-MAX-HD4-MBX-5G-2Y</t>
  </si>
  <si>
    <t>ECP-MAX-HD4-MBX-5G-1Y</t>
  </si>
  <si>
    <t>For MAX HD4 MBX 5G - includes IC2, 24/7 email ticket support, and AHR</t>
  </si>
  <si>
    <t>ECP-MAX-HD4-MBX-5G-2Y</t>
  </si>
  <si>
    <t>ECP-MAX-HD4-MBX-5G-4Y</t>
  </si>
  <si>
    <t>&lt;Peplink HD4 MBX Licenses &amp; Warranties (click the + to open)</t>
  </si>
  <si>
    <t>MAX-MBX-MINI-5GH-T</t>
  </si>
  <si>
    <t>MAX MBX Mini</t>
  </si>
  <si>
    <t>2x Embedded 5G Modem (Americas)</t>
  </si>
  <si>
    <t>MAX-MBX-MINI-5GD-T</t>
  </si>
  <si>
    <t>SVL-MAX-MBX-MINI-5G-1Y</t>
  </si>
  <si>
    <t>For MBX Mini - includes IC2 subscription</t>
  </si>
  <si>
    <t>SVL-MAX-MBX-MINI-5G-2Y</t>
  </si>
  <si>
    <t>ECP-MAX-MBX-MINI-5G-1Y</t>
  </si>
  <si>
    <t>For MBX Mini - includes IC2 subscription, 24/7 email ticket support, and AHR</t>
  </si>
  <si>
    <t>ECP-MAX-MBX-MINI-5G-2Y</t>
  </si>
  <si>
    <t>ECP-MAX-MBX-MINI-5G-4Y</t>
  </si>
  <si>
    <t>PVN-LC-05</t>
  </si>
  <si>
    <t>Up to 5 PepVPN</t>
  </si>
  <si>
    <t>PVN-LC-10</t>
  </si>
  <si>
    <t>Up to 10 PepVPN</t>
  </si>
  <si>
    <t>Up to 20 PepVPN</t>
  </si>
  <si>
    <t>Peplink MAX HD MBX Expansion Modules</t>
  </si>
  <si>
    <t>EXM-MBX-T2-5GH</t>
  </si>
  <si>
    <t>HD2 MBX 5G Expansion Module</t>
  </si>
  <si>
    <t xml:space="preserve">2x 5G modems Compatible with HD2 MBX  </t>
  </si>
  <si>
    <t>EXM-MBX-T4-5GH</t>
  </si>
  <si>
    <t>HD4 MBX 5G Expansion Module</t>
  </si>
  <si>
    <t xml:space="preserve">4x 5G modems Compatible with HD4 MBX </t>
  </si>
  <si>
    <t>EXM-MBX-T4-5GN</t>
  </si>
  <si>
    <t>SVL-EXM-MBX-T2-5G-1Y</t>
  </si>
  <si>
    <t>For MBX Expansion Module with 2x 5G Modems - includes IC2 subscription</t>
  </si>
  <si>
    <t>SVL-EXM-MBX-T2-5G-2Y</t>
  </si>
  <si>
    <t>SVL-EXM-MBX-T4-5G-1Y</t>
  </si>
  <si>
    <t>For MBX Expansion Module with 4x 5G Modems - includes IC2 subscription</t>
  </si>
  <si>
    <t>SVL-EXM-MBX-T4-5G-2Y</t>
  </si>
  <si>
    <t>ECP-EXM-MBX-T2-5G-1Y</t>
  </si>
  <si>
    <t>For MBX Expansion Module w/ 2x 5G Modems - incl. IC2, 24/7 email support, AHR</t>
  </si>
  <si>
    <t>ECP-EXM-MBX-T2-5G-2Y</t>
  </si>
  <si>
    <t>ECP-EXM-MBX-T2-5G-4Y</t>
  </si>
  <si>
    <t>ECP-EXM-MBX-T4-5G-1Y</t>
  </si>
  <si>
    <t>For MBX Expansion Module w/ 4x 5G Modems - incl. IC2, 24/7 email support, AHR</t>
  </si>
  <si>
    <t>ECP-EXM-MBX-T4-5G-2Y</t>
  </si>
  <si>
    <t>ECP-EXM-MBX-T4-5G-4Y</t>
  </si>
  <si>
    <r>
      <rPr>
        <rFont val="Calibri"/>
        <color theme="1"/>
        <sz val="10.0"/>
      </rPr>
      <t>&lt;MBX Module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</si>
  <si>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Peplink Specialty Products</t>
  </si>
  <si>
    <t>POTS-ADP-LTE-US-T-PRM</t>
  </si>
  <si>
    <t>POTS Adapter</t>
  </si>
  <si>
    <t>1x 4G LTE Modem (US/ CAT-4), RJ11 Ports For POTS equipment, Full antenna set</t>
  </si>
  <si>
    <t>For POTS Adapter - includes IC2 subscription</t>
  </si>
  <si>
    <t>For POTS Adapter - includes IC2 subscription, 24/7 email ticket support, and AHR</t>
  </si>
  <si>
    <r>
      <rPr>
        <rFont val="Calibri"/>
        <color theme="1"/>
        <sz val="10.0"/>
      </rPr>
      <t>&lt;POTS Adapter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</si>
  <si>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PDX-5GH-T</t>
  </si>
  <si>
    <t xml:space="preserve"> PDX 5G</t>
  </si>
  <si>
    <t>Ruggedized Portable One-Device Cellular Connectivity with 2x 5G Modems</t>
  </si>
  <si>
    <t>PDX-LTEA-R-T</t>
  </si>
  <si>
    <t xml:space="preserve"> PDX LTEA</t>
  </si>
  <si>
    <t>Ruggedized Portable One-Device Cellular Connectivity with 4x LTEA Modems</t>
  </si>
  <si>
    <t>SVL-499</t>
  </si>
  <si>
    <t>For PDX - includes IC2 subscription</t>
  </si>
  <si>
    <t>SVL-554</t>
  </si>
  <si>
    <t>ECP-PDX-1Y</t>
  </si>
  <si>
    <t>For PDX - includes IC2 subscription, 24/7 email ticket support, and AHR</t>
  </si>
  <si>
    <t>ECP-PDX-2Y</t>
  </si>
  <si>
    <t>ECP-PDX-4Y</t>
  </si>
  <si>
    <r>
      <rPr>
        <rFont val="Calibri"/>
        <color theme="1"/>
        <sz val="10.0"/>
      </rPr>
      <t>&lt;PDX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</si>
  <si>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SIM-BK8-4E-56V</t>
  </si>
  <si>
    <t>SIM Injector</t>
  </si>
  <si>
    <t>SIM Injector Purchased alone</t>
  </si>
  <si>
    <t>SIM-MINI-8-1E</t>
  </si>
  <si>
    <t>SIM Injector Mini</t>
  </si>
  <si>
    <t>8x SIM cards capacity</t>
  </si>
  <si>
    <t>ECP-SIM-BK8-1Y</t>
  </si>
  <si>
    <t>EssentialCare+ (1-Year) for SIM Injector</t>
  </si>
  <si>
    <t>For SIM Injector - includes IC2 subscription, 24/7 email ticket support, and AHR</t>
  </si>
  <si>
    <t>ECP-SIM-BK8-2Y</t>
  </si>
  <si>
    <t>EssentialCare+ (2-Year) for SIM Injector</t>
  </si>
  <si>
    <t>ECP-SIM-BK8-4Y</t>
  </si>
  <si>
    <t>EssentialCare+ (4-Year) for SIM Injector</t>
  </si>
  <si>
    <t>SVL-496</t>
  </si>
  <si>
    <t>For SIM Injector - includes IC2 subscription</t>
  </si>
  <si>
    <t>SVL-591</t>
  </si>
  <si>
    <t>SVL-SIM-MINI-1Y</t>
  </si>
  <si>
    <t>For SIM Injector Mini - includes IC2 subscription</t>
  </si>
  <si>
    <t>SVL-SIM-MINI-2Y</t>
  </si>
  <si>
    <t>For SIM Injector Mini - includes IC2 subscription, 24/7 email ticket support, AHR</t>
  </si>
  <si>
    <t>ICS-V02-1Y</t>
  </si>
  <si>
    <t xml:space="preserve">1-Year InControl2 </t>
  </si>
  <si>
    <t>Per Device: for SIM Injector Mini</t>
  </si>
  <si>
    <t>ICS-V02-2Y</t>
  </si>
  <si>
    <t xml:space="preserve">2-Year InControl2 </t>
  </si>
  <si>
    <t>&lt;Peplink SIM Injector Licenses &amp; Warranties (click the + to open)</t>
  </si>
  <si>
    <t xml:space="preserve"> </t>
  </si>
  <si>
    <t>SFE-CAM-AB-LTEA-W</t>
  </si>
  <si>
    <t>SpeedFusion Engine Cam</t>
  </si>
  <si>
    <t>Dual modem for Pro IP Cameras - Anton Bauer Gold Mount</t>
  </si>
  <si>
    <t>SFE-CAM-VM-LTEA-W</t>
  </si>
  <si>
    <t>Dual modem for Pro IP Cameras - V-Mount</t>
  </si>
  <si>
    <t>SVL-483</t>
  </si>
  <si>
    <t>for SpeedFusion Engine Cam - includes IC2 subscription</t>
  </si>
  <si>
    <t>SVL-587</t>
  </si>
  <si>
    <t>ECP-SFE-CAM-1Y</t>
  </si>
  <si>
    <t>for SpeedFusion Engine Cam - includes IC2 , 24/7 email ticket support, and AHR</t>
  </si>
  <si>
    <t>ECP-SFE-CAM-2Y</t>
  </si>
  <si>
    <t>ECP-SFE-CAM-4Y</t>
  </si>
  <si>
    <r>
      <rPr>
        <rFont val="Calibri"/>
        <color theme="1"/>
        <sz val="10.0"/>
      </rPr>
      <t>&lt;SpeedFusion Engine Cam Licenses &amp;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</si>
  <si>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MAX-OTG-U4</t>
  </si>
  <si>
    <t>MAX On-The-Go 4 USB</t>
  </si>
  <si>
    <t>4 Active USB Ports, SpeedFusion Upgradeable</t>
  </si>
  <si>
    <t>MAX-OTG-U4-SF</t>
  </si>
  <si>
    <t xml:space="preserve">4 Active USB Ports with SpeedFusion WAN Smoothing </t>
  </si>
  <si>
    <t>ECP-MAX-OTG-1Y</t>
  </si>
  <si>
    <t>For MAX On-The-Go - includes IC2 subscription, 24/7 email ticket support, AHR</t>
  </si>
  <si>
    <t>ECP-MAX-OTG-2Y</t>
  </si>
  <si>
    <t>ECP-MAX-OTG-4Y</t>
  </si>
  <si>
    <t>SVL-727</t>
  </si>
  <si>
    <t>For MAX On-The-Go - includes IC2 subscription</t>
  </si>
  <si>
    <t>SVL-637</t>
  </si>
  <si>
    <t>MAX-OTG-U1-LC-LB</t>
  </si>
  <si>
    <t>Port Activation Key</t>
  </si>
  <si>
    <t>Makes a MAX-OTG-U1 into a MAX-OTG-U4</t>
  </si>
  <si>
    <t>MAX-OTG-U4-LC-SF</t>
  </si>
  <si>
    <t>WAN Smoothing Key</t>
  </si>
  <si>
    <t>Makes a MAX-OTG-U4 into a MAX-OTG-U4-SF</t>
  </si>
  <si>
    <t>MAX-OTG-U1-LC-SF</t>
  </si>
  <si>
    <t>Port and Smoothing Key</t>
  </si>
  <si>
    <t>Makes a MAX-OTG-U1 into a MAX-OTG-U4-SF</t>
  </si>
  <si>
    <t xml:space="preserve">ICS-012 </t>
  </si>
  <si>
    <t>1-Year InControl2</t>
  </si>
  <si>
    <t>1 Year renewal, per device for MAX On-The-Go</t>
  </si>
  <si>
    <t xml:space="preserve">ICS-024 </t>
  </si>
  <si>
    <t>2-Year InControl2</t>
  </si>
  <si>
    <t>2 Year renewal, per device for MAX On-The-Go</t>
  </si>
  <si>
    <t>&lt;Peplink MAX On-The-Go Licenses &amp; Warranties (click the + to open)</t>
  </si>
  <si>
    <t>MAX-ADP-LTE-US-T-PRM</t>
  </si>
  <si>
    <t>MAX Adapter (Cat 4)</t>
  </si>
  <si>
    <t>1x LTE Modem (CAT-4)</t>
  </si>
  <si>
    <t>MAX-ADP-LTEA-K-T</t>
  </si>
  <si>
    <t>MAX Adapter (Cat 12)</t>
  </si>
  <si>
    <t>1x LTEA Modem (CAT-12)</t>
  </si>
  <si>
    <t>MAX-ADP-LTEA-R-T</t>
  </si>
  <si>
    <t>PRM-Z-1Y</t>
  </si>
  <si>
    <t>For MAX Adapter (CAT-4) - includes IC2 subscription</t>
  </si>
  <si>
    <t>PRM-Z-2Y</t>
  </si>
  <si>
    <t>PRM-Z-4Y</t>
  </si>
  <si>
    <t>PCP-Z-1Y</t>
  </si>
  <si>
    <t>PCP-Z-2Y</t>
  </si>
  <si>
    <t>PCP-Z-4Y</t>
  </si>
  <si>
    <t>SVL-MAX-ADP-LTEA-RK-1Y</t>
  </si>
  <si>
    <t>For MAX Adapter (Cat 12) - includes IC2 subscription</t>
  </si>
  <si>
    <t>SVL-MAX-ADP-LTEA-RK-2Y</t>
  </si>
  <si>
    <t>ECP-B-1Y</t>
  </si>
  <si>
    <t>For MAX Adapter (Cat 12) - includes IC2, 24/7 email ticket support, and AHR</t>
  </si>
  <si>
    <t>ECP-B-2Y</t>
  </si>
  <si>
    <t>ECP-B-4Y</t>
  </si>
  <si>
    <t>1 Year renewal, per device for Max Adapter</t>
  </si>
  <si>
    <t>&lt;Peplink Max Adpater Licenses &amp; Warranties (click the + to open)</t>
  </si>
  <si>
    <t>Peplink Outdoor Routers</t>
  </si>
  <si>
    <t>MAX-HD4-M-LTEA-W-IP67</t>
  </si>
  <si>
    <t>MAX HD4 LTEA IP67</t>
  </si>
  <si>
    <t>Water and Dust Resistant Router for Americas/EMEA</t>
  </si>
  <si>
    <t>ECP-MAX-HD4-LTEA-IP67-1Y</t>
  </si>
  <si>
    <t>For HD4 IP67 - includes IC2 subscription, 24/7 email ticket support, and AHR</t>
  </si>
  <si>
    <t>ECP-MAX-HD4-LTEA-IP67-2Y</t>
  </si>
  <si>
    <t>ECP-MAX-HD4-LTEA-IP67-4Y</t>
  </si>
  <si>
    <t>SVL-478</t>
  </si>
  <si>
    <t>For HD4 IP67 - includes IC2 subscription</t>
  </si>
  <si>
    <t>SVL-487</t>
  </si>
  <si>
    <t>Up to 20 PepVPN/SpeedFusion Peers</t>
  </si>
  <si>
    <t>&lt;Peplink MAX BR1 LTEA IP67 Licenses &amp; Warranties (click the + to open)</t>
  </si>
  <si>
    <t>MAX-HD1-DOM-PRO-5GN</t>
  </si>
  <si>
    <t>MAX HD1 DOM 5G</t>
  </si>
  <si>
    <t xml:space="preserve">5G Cellular Outdoor Router </t>
  </si>
  <si>
    <t>SIM-BK8-4E-56V-DOM</t>
  </si>
  <si>
    <t>SIM Injector Purchased with the HD1 / HD2 Dome</t>
  </si>
  <si>
    <t>SVL-MAX-HD1-DOM-PRO-5G-1Y</t>
  </si>
  <si>
    <t>For HD1 5G - includes IC2 subscription</t>
  </si>
  <si>
    <t>SVL-MAX-HD1-DOM-PRO-5G-2Y</t>
  </si>
  <si>
    <t>SVL-MAX-HD1-DOM-PRO-5G-4Y</t>
  </si>
  <si>
    <t>4-Year EssentialCare</t>
  </si>
  <si>
    <t>ECP-MAX-HD1-DOM-PRO-5G-1Y</t>
  </si>
  <si>
    <t>For HD1 5G - includes IC2 subscription, 24/7 email ticket support, and AHR</t>
  </si>
  <si>
    <t>ECP-MAX-HD1-DOM-PRO-5G-2Y</t>
  </si>
  <si>
    <t>ECP-MAX-HD1-DOM-PRO-5G-4Y</t>
  </si>
  <si>
    <t>for SIM Injector - includes IC2 subscription</t>
  </si>
  <si>
    <t>for SIM Injector Mini - includes IC2 subscription</t>
  </si>
  <si>
    <t>&lt;Peplink MAX HD1 Dome Licenses &amp; Warranties (click the + to open)</t>
  </si>
  <si>
    <t>DOM-PRO-LR-5GN-PRM</t>
  </si>
  <si>
    <t>Dome Pro LR</t>
  </si>
  <si>
    <t>Long Range 5G Cellular Outdoor Router with 2x Embedded Cellular Modems</t>
  </si>
  <si>
    <t>&lt;Peplink Dome Pro LR / SIM Injector Licenses &amp; Warranties (click the + to open)</t>
  </si>
  <si>
    <t>Peplink Business Wi-Fi Access Point</t>
  </si>
  <si>
    <t xml:space="preserve">APO-AC-MINI </t>
  </si>
  <si>
    <t>AP One AC  Mini</t>
  </si>
  <si>
    <t xml:space="preserve">Simultaneous Dual-Band 802.11ac/a/b/g/n Wave 2 AP </t>
  </si>
  <si>
    <t>APO-AC-RUG</t>
  </si>
  <si>
    <t>AP One Rugged</t>
  </si>
  <si>
    <t>Dual-band Wi-Fi 5, 2x2 MIMO</t>
  </si>
  <si>
    <t xml:space="preserve">APO-AGN2-IW-US </t>
  </si>
  <si>
    <t>AP One In-Wall</t>
  </si>
  <si>
    <t xml:space="preserve">Simultaneous Dual-Band 802.11a/b/g/n AP </t>
  </si>
  <si>
    <t>APO-AX</t>
  </si>
  <si>
    <t>AP One AX</t>
  </si>
  <si>
    <t>Dual-Radio Concurrent 2.4 GHz &amp; 5 GHz ( 802.11 ax/n/b/g)</t>
  </si>
  <si>
    <t>APO-AX-LITE</t>
  </si>
  <si>
    <t>AP One AX Lite</t>
  </si>
  <si>
    <t>2x2 MIMO Wi-Fi 6 Simultaneous Dual-Band 802.11ax/ac/b/g/n</t>
  </si>
  <si>
    <t>SVL-791</t>
  </si>
  <si>
    <t>For AP One Mini - includes IC2 subscription</t>
  </si>
  <si>
    <t>SVL-691</t>
  </si>
  <si>
    <t>SVL-742</t>
  </si>
  <si>
    <t>For AP One In-Wall - includes IC2 subscription</t>
  </si>
  <si>
    <t>SVL-743</t>
  </si>
  <si>
    <t>For AP Flex - includes IC2 subscription</t>
  </si>
  <si>
    <t>SVL-621</t>
  </si>
  <si>
    <t>SVL-620</t>
  </si>
  <si>
    <t>SVL-APO-AX-1Y</t>
  </si>
  <si>
    <t>For AP One AX- includes IC2 subscription</t>
  </si>
  <si>
    <t>SVL-APO-AX-2Y</t>
  </si>
  <si>
    <t>SVL-APO-AX-LITE-1Y</t>
  </si>
  <si>
    <t>For AP One AX Lite- includes IC2 subscription</t>
  </si>
  <si>
    <t>SVL-APO-AX-LITE-2Y</t>
  </si>
  <si>
    <t>SVL-413</t>
  </si>
  <si>
    <t>For APO One Rugged</t>
  </si>
  <si>
    <t>SVL-513</t>
  </si>
  <si>
    <t>ECP-A-1Y</t>
  </si>
  <si>
    <t xml:space="preserve">For AP One Series (except AP One Flex and AP One AX) </t>
  </si>
  <si>
    <t>ECP-A-2Y</t>
  </si>
  <si>
    <t>ECP-A-4Y</t>
  </si>
  <si>
    <t>For AP One AX</t>
  </si>
  <si>
    <t xml:space="preserve">1-Year renewal, per device </t>
  </si>
  <si>
    <t xml:space="preserve">2-Year renewal, per device </t>
  </si>
  <si>
    <t>&lt;Peplink AP One Licenses &amp; Warranties (click the + to open)</t>
  </si>
  <si>
    <t>Peplink Enterprise Wi-Fi Access Point</t>
  </si>
  <si>
    <t>APO-ENTR</t>
  </si>
  <si>
    <t>AP One Enterprise</t>
  </si>
  <si>
    <t>Super Rugged Enterprise-Grade Access point</t>
  </si>
  <si>
    <t>For AP One Enterprise - includes IC2 subscription</t>
  </si>
  <si>
    <t>For AP One Enterprise - includes IC2, 24/7 email ticket support, and AHR</t>
  </si>
  <si>
    <t>&lt;Peplink AP One Enterprise Warranties (click the + to open)</t>
  </si>
  <si>
    <t>Peplink Industrial-Grade Wi-Fi Access Point</t>
  </si>
  <si>
    <t>APP-AX-IP67</t>
  </si>
  <si>
    <t>AP Pro AX</t>
  </si>
  <si>
    <t>SVL-APP-AX-IP67-1Y</t>
  </si>
  <si>
    <t>For AP Pro AX</t>
  </si>
  <si>
    <t>SVL-APP-AX-IP67-2Y</t>
  </si>
  <si>
    <t>ICS-V01-1Y</t>
  </si>
  <si>
    <t>1-Year renewal, per device</t>
  </si>
  <si>
    <t>ICS-V01-2Y</t>
  </si>
  <si>
    <t>&lt;Peplink AP Pro Licenses &amp; Warranties (click the + to open)</t>
  </si>
  <si>
    <t>Peplink Real-Time Wi-Fi Analysis Probe</t>
  </si>
  <si>
    <t>PRB-11N</t>
  </si>
  <si>
    <t xml:space="preserve">AirProbe </t>
  </si>
  <si>
    <t>802.11b/g/n  Wi-Fi Diagnostic Monitor</t>
  </si>
  <si>
    <t>PRB-IC2-1Y</t>
  </si>
  <si>
    <t>1-Year AirProbe Subscription</t>
  </si>
  <si>
    <t>1-Year Software Licence Renewal per device</t>
  </si>
  <si>
    <t>PRB-IC2-2Y</t>
  </si>
  <si>
    <t>2-Year AirProbe Subscription</t>
  </si>
  <si>
    <t>2-Year Software Licence Renewal per device</t>
  </si>
  <si>
    <t>&lt;Peplink AirProbe Licenses &amp; Warranties (click the + to open)</t>
  </si>
  <si>
    <t>Peplink PoE SD Switches</t>
  </si>
  <si>
    <t>PLS-8-10G-720W</t>
  </si>
  <si>
    <t>8 PoE 10G Switch</t>
  </si>
  <si>
    <t>8 PoE 10G Switch w/720W power budget, 8x 10GE l 802.3bt PoE++ RJ45, 4x 10GE SFP+</t>
  </si>
  <si>
    <t>PLS-24-H2G-410W</t>
  </si>
  <si>
    <t>24 PoE 2.5G Switch</t>
  </si>
  <si>
    <t>SD Switch 24-Port with 410 W Power Budget</t>
  </si>
  <si>
    <t>PLS-R-24-H2G-250W</t>
  </si>
  <si>
    <t>24 PoE 2.5G Switch Rugged</t>
  </si>
  <si>
    <t>SD Switch 24-Port Rugged with 250W Power Budget</t>
  </si>
  <si>
    <t>PLS-48-H2G-740W</t>
  </si>
  <si>
    <t>48 PoE 2.5G Switch</t>
  </si>
  <si>
    <t>SD Switch 48-Port with 740W Power Budget</t>
  </si>
  <si>
    <t>For 8 PoE 10G Switch and 24 PoE Switch - includes IC2 subscription</t>
  </si>
  <si>
    <t>For 8 PoE 10G Switch and 24 PoE Switch - includes IC2, 24/7 email ticket support, AHR</t>
  </si>
  <si>
    <t>For 24 port rugged and 48 port PoE Switch - includes IC2 subscription</t>
  </si>
  <si>
    <t>For 24 PoE Switch - includes IC2 subscription</t>
  </si>
  <si>
    <t>For 24 port rugged and 48 port PoE Switch - includes IC2, 24/7 email ticket support, AHR</t>
  </si>
  <si>
    <r>
      <rPr>
        <rFont val="Calibri"/>
        <color theme="1"/>
        <sz val="10.0"/>
      </rPr>
      <t>&lt;Peplink SD Switch Licenses, Add-ons, Warranties and Accessories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</si>
  <si>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PepXIM Power and Security</t>
  </si>
  <si>
    <t>RDR-IW-LCD</t>
  </si>
  <si>
    <t>Smart Reader with LCD</t>
  </si>
  <si>
    <t>PepXIM Time-logging and Security System</t>
  </si>
  <si>
    <t>PMU-DD-52V-400W</t>
  </si>
  <si>
    <t xml:space="preserve">SD-PMU </t>
  </si>
  <si>
    <t xml:space="preserve">Software-Defined Power Management Unit  </t>
  </si>
  <si>
    <t>SVL-469</t>
  </si>
  <si>
    <t xml:space="preserve">For Smart Reader  </t>
  </si>
  <si>
    <t>SVL-582</t>
  </si>
  <si>
    <t>SVL-477</t>
  </si>
  <si>
    <t>For SD-PMU - includes IoT Cloud subscription</t>
  </si>
  <si>
    <t>SVL-583</t>
  </si>
  <si>
    <t>TA-10</t>
  </si>
  <si>
    <t>TA Cloud Appliance</t>
  </si>
  <si>
    <t>Supports 10 Smart Readers - Annual Fee</t>
  </si>
  <si>
    <t>TA-VA-LC-10</t>
  </si>
  <si>
    <t>10 License Pack</t>
  </si>
  <si>
    <t>Allows the 10 additional Smart Readerd on TA-VA-20</t>
  </si>
  <si>
    <t>TA-LC-1</t>
  </si>
  <si>
    <t>Single License Pack</t>
  </si>
  <si>
    <t>Allows the 1 additional Smart Readerd on TA-VA-20</t>
  </si>
  <si>
    <r>
      <rPr>
        <rFont val="Calibri"/>
        <color theme="1"/>
        <sz val="10.0"/>
      </rPr>
      <t>&lt;PepXIM Licenses, Add-ons, and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</si>
  <si>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Peplink FusionHub Appliance</t>
  </si>
  <si>
    <t>FHB-ESN-A</t>
  </si>
  <si>
    <t>FusionHub Essential</t>
  </si>
  <si>
    <t xml:space="preserve">5 peers </t>
  </si>
  <si>
    <t>SVL-681</t>
  </si>
  <si>
    <t>For FusionHub Essential- Includes InControl2</t>
  </si>
  <si>
    <t>SVL-781</t>
  </si>
  <si>
    <t>FIPS-LC-FHB</t>
  </si>
  <si>
    <t>FIPS License for FusionHub</t>
  </si>
  <si>
    <t>For any FusionHub</t>
  </si>
  <si>
    <r>
      <rPr>
        <rFont val="Calibri"/>
        <color theme="1"/>
        <sz val="10.0"/>
      </rPr>
      <t>&lt;FusionHub Essential Licenses and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</si>
  <si>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FHB-PRO-A</t>
  </si>
  <si>
    <t>FusionHub Pro</t>
  </si>
  <si>
    <t>20 peers</t>
  </si>
  <si>
    <t>SVL-682</t>
  </si>
  <si>
    <t>For FusionHub Pro - Includes InControl2</t>
  </si>
  <si>
    <t>SVL-782</t>
  </si>
  <si>
    <r>
      <rPr>
        <rFont val="Calibri"/>
        <color theme="1"/>
        <sz val="10.0"/>
      </rPr>
      <t>&lt;FusionHub Pro Licenses and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</si>
  <si>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FHB-100-A</t>
  </si>
  <si>
    <t>FusionHub 100</t>
  </si>
  <si>
    <t>100 peers</t>
  </si>
  <si>
    <t>SVL-683</t>
  </si>
  <si>
    <t>For FusionHub 100 - Includes InControl2</t>
  </si>
  <si>
    <t>SVL-783</t>
  </si>
  <si>
    <t>ECP-FHB-100-1Y</t>
  </si>
  <si>
    <t>ECP-FHB-100-2Y</t>
  </si>
  <si>
    <t>ECP-FHB-100-4Y</t>
  </si>
  <si>
    <r>
      <rPr>
        <rFont val="Calibri"/>
        <color theme="1"/>
        <sz val="10.0"/>
      </rPr>
      <t>&lt;FusionHub 100 Licenses and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</si>
  <si>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FHB-500-A</t>
  </si>
  <si>
    <t>FusionHub 500</t>
  </si>
  <si>
    <t>500 peers</t>
  </si>
  <si>
    <t>SVL-684</t>
  </si>
  <si>
    <t>For FusionHub 500 - Includes InControl2</t>
  </si>
  <si>
    <t>SVL-784</t>
  </si>
  <si>
    <t>ECP-FHB-500-1Y</t>
  </si>
  <si>
    <t>ECP-FHB-500-2Y</t>
  </si>
  <si>
    <t>ECP-FHB-500-4Y</t>
  </si>
  <si>
    <r>
      <rPr>
        <rFont val="Calibri"/>
        <color theme="1"/>
        <sz val="10.0"/>
      </rPr>
      <t>&lt;FusionHub 500 Licenses and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</si>
  <si>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FHB-1000-A</t>
  </si>
  <si>
    <t>FusionHub 1000</t>
  </si>
  <si>
    <t xml:space="preserve">1000 peers </t>
  </si>
  <si>
    <t>SVL-685</t>
  </si>
  <si>
    <t>For FusionHub 1000 - Includes InControl2</t>
  </si>
  <si>
    <t>SVL-785</t>
  </si>
  <si>
    <t>ECP-FHB-1000-1Y</t>
  </si>
  <si>
    <t>ECP-FHB-1000-2Y</t>
  </si>
  <si>
    <t>ECP-FHB-1000-4Y</t>
  </si>
  <si>
    <r>
      <rPr>
        <rFont val="Calibri"/>
        <color theme="1"/>
        <sz val="10.0"/>
      </rPr>
      <t>&lt;FusionHub 1000 Licenses and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</si>
  <si>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FHB-2000</t>
  </si>
  <si>
    <t>FusionHub 2000</t>
  </si>
  <si>
    <t xml:space="preserve">2000 peers </t>
  </si>
  <si>
    <t>SVL-686</t>
  </si>
  <si>
    <t>For FusionHub 2000 - Includes InControl2</t>
  </si>
  <si>
    <t>SVL-786</t>
  </si>
  <si>
    <t>ECP-FHB-2000-1Y</t>
  </si>
  <si>
    <t>ECP-FHB-2000-2Y</t>
  </si>
  <si>
    <t>ECP-FHB-2000-4Y</t>
  </si>
  <si>
    <r>
      <rPr>
        <rFont val="Calibri"/>
        <color theme="1"/>
        <sz val="10.0"/>
      </rPr>
      <t>&lt;FusionHub 2000 Licenses and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</si>
  <si>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FHB-4000</t>
  </si>
  <si>
    <t>FusionHub 4000</t>
  </si>
  <si>
    <t xml:space="preserve">4000 peers </t>
  </si>
  <si>
    <t>SVL-687</t>
  </si>
  <si>
    <t>For FusionHub 4000 - Includes InControl2</t>
  </si>
  <si>
    <t>SVL-787</t>
  </si>
  <si>
    <t>ECP-FHB-4000-1Y</t>
  </si>
  <si>
    <t>ECP-FHB-4000-2Y</t>
  </si>
  <si>
    <t>ECP-FHB-4000-4Y</t>
  </si>
  <si>
    <r>
      <rPr>
        <rFont val="Calibri"/>
        <color theme="1"/>
        <sz val="10.0"/>
      </rPr>
      <t>&lt;FusionHub 4000 Licenses and Warranties (click the</t>
    </r>
    <r>
      <rPr>
        <rFont val="Calibri"/>
        <b/>
        <color theme="1"/>
        <sz val="10.0"/>
      </rPr>
      <t xml:space="preserve"> +</t>
    </r>
    <r>
      <rPr>
        <rFont val="Calibri"/>
        <color theme="1"/>
        <sz val="10.0"/>
      </rPr>
      <t xml:space="preserve"> to open)</t>
    </r>
  </si>
  <si>
    <t>SpeedFusion Connect (Peplink-Hosted FusionHub)</t>
  </si>
  <si>
    <t>SFC-CLD-B</t>
  </si>
  <si>
    <t>SpeedFusion Connect Usage - Plan B</t>
  </si>
  <si>
    <t>500GB Data at 200Mbps Speed, Valid period 180 days</t>
  </si>
  <si>
    <t>SFC-CLD-C</t>
  </si>
  <si>
    <t>SpeedFusion Connect Usage - Plan C</t>
  </si>
  <si>
    <t>1TB Data at 200Mbps Speed, Valid period 365 days</t>
  </si>
  <si>
    <t>SFC-CLD-D</t>
  </si>
  <si>
    <t>SpeedFusion Connect Usage - Plan D</t>
  </si>
  <si>
    <t>2.5TB Data at 200Mbps, Valid period 365 days</t>
  </si>
  <si>
    <t>SFC-CLD-E</t>
  </si>
  <si>
    <t>SpeedFusion Connect Usage - Plan E</t>
  </si>
  <si>
    <t>5TB Data at 200Mbps, Valid period 2 years</t>
  </si>
  <si>
    <t>SFC-CLD-F</t>
  </si>
  <si>
    <t>SpeedFusion Connect Usage - Plan F</t>
  </si>
  <si>
    <t>10TB Data at 200Mbps, Valid period 3 years</t>
  </si>
  <si>
    <t>SFC-CLD-U-1M</t>
  </si>
  <si>
    <t xml:space="preserve">SF Connect Usage - Unlimited Plan (1 Month)   </t>
  </si>
  <si>
    <t>Unlimited usage at 400Mpbs, Valid period 1 Month</t>
  </si>
  <si>
    <t>SFC-CLD-U-1Y</t>
  </si>
  <si>
    <t xml:space="preserve">SF Connect Usage - Unlimited Plan (Year) </t>
  </si>
  <si>
    <t>Unlimited usage at 400Mpbs, Valid period 1 Year</t>
  </si>
  <si>
    <t>Peplink eSIM Data Plans</t>
  </si>
  <si>
    <t>SFC-CN-A</t>
  </si>
  <si>
    <t>Peplink eSIM Data - Plan A</t>
  </si>
  <si>
    <t xml:space="preserve">10GB data, valid 90 days — includes 100GB / Speed 200Mbps SF Connect </t>
  </si>
  <si>
    <t>SFC-CN-B</t>
  </si>
  <si>
    <t>Peplink eSIM Data - Plan B</t>
  </si>
  <si>
    <t>50GB data, valid 180 days — includes 500GB / Speed 200Mbps SF Connect</t>
  </si>
  <si>
    <t>SFC-CN-C</t>
  </si>
  <si>
    <t>Peplink eSIM Data - Plan C</t>
  </si>
  <si>
    <t>100GB data, valid 365 days — includes 1TB / Speed 200Mbps, SF Connect</t>
  </si>
  <si>
    <t>SFC-CN-D</t>
  </si>
  <si>
    <t>Peplink eSIM Data - Plan D</t>
  </si>
  <si>
    <t>250GB data, valid 365 days — includes 2.5TB / Speed 200Mbps, SF Connect</t>
  </si>
  <si>
    <t>SFC-CN-E</t>
  </si>
  <si>
    <t>Peplink eSIM Data - Plan E</t>
  </si>
  <si>
    <t>500GB data, valid 2 years — includes 5TB / Speed 200Mbps, SF Connect</t>
  </si>
  <si>
    <t>SFC-CN-F</t>
  </si>
  <si>
    <t>Peplink eSIM Data - Plan F</t>
  </si>
  <si>
    <t>1TB data, valid 3 years — includes 10TB / Speed 200Mbps, SF Connect</t>
  </si>
  <si>
    <t>SFC-CN-S-A</t>
  </si>
  <si>
    <t>Peplink NA &amp; EU eSIM Data – Starter</t>
  </si>
  <si>
    <t xml:space="preserve">20GB Peplink eSIM Data (US, Canada, and Europe only) / 200GB SFConnect Usage </t>
  </si>
  <si>
    <t>SFC-CN-S-B</t>
  </si>
  <si>
    <t>Peplink NA &amp; EU eSIM Data - Standard</t>
  </si>
  <si>
    <t xml:space="preserve">30GB Peplink eSIM Data (US, Canada, and Europe only) / 200GB SFConnect Usage </t>
  </si>
  <si>
    <t>SFC-CN-S-C</t>
  </si>
  <si>
    <t xml:space="preserve">60GB Peplink eSIM Data (US, Canada, and Europe only) / 200GB SFConnect Usage </t>
  </si>
  <si>
    <t>SFC-CNP-D</t>
  </si>
  <si>
    <t>Peplink eSIM Data - Pooled Plan D</t>
  </si>
  <si>
    <t>250GB Cellular Data, valid for 365 days</t>
  </si>
  <si>
    <t>SFC-CNP-E</t>
  </si>
  <si>
    <t>Peplink eSIM Data - Pooled Plan E</t>
  </si>
  <si>
    <t>500GB Cellular Data, valid for 365 days</t>
  </si>
  <si>
    <t>SFC-CNP-F</t>
  </si>
  <si>
    <t>Peplink eSIM Data - Pooled Plan F</t>
  </si>
  <si>
    <t>1TB Cellular Data, valid for 365 days</t>
  </si>
  <si>
    <t>SFC-CNP-G</t>
  </si>
  <si>
    <t>Peplink eSIM Data - Pooled Plan G</t>
  </si>
  <si>
    <t>2TB Cellular Data, valid for 365 days</t>
  </si>
  <si>
    <t>SFC-CNP-H</t>
  </si>
  <si>
    <t>Peplink eSIM Data - Pooled Plan H</t>
  </si>
  <si>
    <t>5TB Cellular Data, valid for 365 days</t>
  </si>
  <si>
    <t>SFC-CNP-J</t>
  </si>
  <si>
    <t>Peplink eSIM Data - Pooled Plan J</t>
  </si>
  <si>
    <t>10TB Cellular Data, valid for 365 days</t>
  </si>
  <si>
    <t>Antennas</t>
  </si>
  <si>
    <t>ANT-107-Q-LTE4-G</t>
  </si>
  <si>
    <t>4x4 MIMO 6dbi</t>
  </si>
  <si>
    <t>IP67 Omnidirectional LTE/GPS Antenna QMA connectors</t>
  </si>
  <si>
    <t>ANT-IOT-20G-N-W-2</t>
  </si>
  <si>
    <t>2x LTE/5G, 1x GPS </t>
  </si>
  <si>
    <t>2x2 MIMO 5G Ready Cellular Antenna System with GPS </t>
  </si>
  <si>
    <t>ANT-IOT-20G-S-W-16</t>
  </si>
  <si>
    <t>ANT-MAX</t>
  </si>
  <si>
    <t>4x4 MIMO/2x WIFI/GPS/IP67 Router Enclosure</t>
  </si>
  <si>
    <t>Turns BR1 Mini, BR1 Pro and Transit Duo into an outdoor 5G or 4G antenna</t>
  </si>
  <si>
    <t>ANT-MAX-S</t>
  </si>
  <si>
    <t>For Starlink Mini with BR1 Mini, Transit Duo Pro, BR1 Pro 5G, or BR1 Pro CAT-20</t>
  </si>
  <si>
    <t>ANT-MAX-DUO</t>
  </si>
  <si>
    <t>8x8 MIMO/2x Wi-Fi/GPS/IP67 Router Enclosure</t>
  </si>
  <si>
    <t>Turns BR2 Pro, 2x BR1 Pro 5G, 2x BR1 Mini 5G, etc. into outdoor 5G or 4G antenna</t>
  </si>
  <si>
    <t>ANT-MB-02-Q-B-1</t>
  </si>
  <si>
    <t>2x2 MIMO WIFI</t>
  </si>
  <si>
    <t>Black 2x2 MIMO Wi-Fi Dual Band Antenna QMA adapters</t>
  </si>
  <si>
    <t>ANT-MB-02-Q-W-1</t>
  </si>
  <si>
    <t>White 2x2 MIMO Wi-Fi Dual Band Antenna QMA adapters</t>
  </si>
  <si>
    <t>ANT-MB-02-R-W-6</t>
  </si>
  <si>
    <t>White 2x2 MIMO Wi-Fi Dual Band Antenna RP-SMA adapters</t>
  </si>
  <si>
    <t>ANT-MB-20G-S-B-6</t>
  </si>
  <si>
    <t>2xLTE, 1xGPS</t>
  </si>
  <si>
    <t>Black 2x2 MIMO 5G Ready Cellular Antenna System with GPS </t>
  </si>
  <si>
    <t>ANT-MB-20G-S-W-6</t>
  </si>
  <si>
    <t>White 2x2 MIMO 5G Ready Cellular Antenna System with GPS </t>
  </si>
  <si>
    <t>ANT-MB-22G-Q-B-1</t>
  </si>
  <si>
    <t>2xLTE, 2x Wi-Fi, 1xGPS</t>
  </si>
  <si>
    <t>Black 5-in-1 2x LTE, 2x W-Fi, 1x GPS QMA adapters</t>
  </si>
  <si>
    <t>ANT-MB-22G-Q-W-1</t>
  </si>
  <si>
    <t>White 5-in-1 2x LTE, 2x W-Fi, 1x GPS QMA adapters</t>
  </si>
  <si>
    <t>ANT-MB-22G-S-B-6</t>
  </si>
  <si>
    <t>Black 5-in-1 2x LTE, 2x W-Fi, 1x GPS SMA/RP-SMA adapters</t>
  </si>
  <si>
    <t>ANT-MB-22G-S-W-6</t>
  </si>
  <si>
    <t>White 5-in-1 2x LTE, 2x W-Fi, 1x GPS SMA/RP-SMA adapters</t>
  </si>
  <si>
    <t>ANT-MB-40G-N-B-6</t>
  </si>
  <si>
    <t xml:space="preserve">4x4 MIMO LTE / GPS </t>
  </si>
  <si>
    <t>Black IP67 Omni 5-in-1 4x4 MIMO LTE / GPS N adapter</t>
  </si>
  <si>
    <t>ANT-MB-40G-N-W-6</t>
  </si>
  <si>
    <t>White IP67 Omni 5-in-1 4x4 MIMO LTE / GPS N adapter</t>
  </si>
  <si>
    <t>ANT-MB-40G-Q-B-1</t>
  </si>
  <si>
    <t>Black IP67 Omni 5-in-1 4x4 MIMO LTE / GPS QMA adapters</t>
  </si>
  <si>
    <t>ANT-MB-40G-Q-B-6</t>
  </si>
  <si>
    <t>ANT-MB-40G-Q-W-1</t>
  </si>
  <si>
    <t>White IP67 Omni 5-in-1 4x4 MIMO LTE / GPS QMA adapters</t>
  </si>
  <si>
    <t>ANT-MB-40G-Q-W-6</t>
  </si>
  <si>
    <t>ANT-MB-40G-S-B-6</t>
  </si>
  <si>
    <t>Black IP67 Omni 5-in-1 4x4 MIMO LTE / GPS SMA adapters</t>
  </si>
  <si>
    <t>ANT-MB-40G-S-W-6</t>
  </si>
  <si>
    <t>White IP67 Omni 5-in-1 4x4 MIMO LTE / GPS SMA adapters</t>
  </si>
  <si>
    <t>ANT-MB-42G-Q-B-1</t>
  </si>
  <si>
    <t xml:space="preserve">4x4 MIMO LTE / 2x WIFI / GPS </t>
  </si>
  <si>
    <t xml:space="preserve">Black IP67 Omni 7-in-1 4x4 MIMO LTE 2x WIFI / GPS QMA </t>
  </si>
  <si>
    <t>ANT-MB-42G-Q-B-6</t>
  </si>
  <si>
    <t>ANT-MB-42G-Q-W-1</t>
  </si>
  <si>
    <t xml:space="preserve">White IP67 Omni 7-in-1 4x4 MIMO LTE 2x WIFI / GPS QMA </t>
  </si>
  <si>
    <t>ANT-MB-42G-Q-W-6</t>
  </si>
  <si>
    <t>ANT-MB-42G-S-B-1</t>
  </si>
  <si>
    <t>Black IP67 Omni 7-in-1 4x4 MIMO LTE 2x WIFI / GPS SMA / 1 Ft. Cable</t>
  </si>
  <si>
    <t>ANT-MB-42G-S-W-1</t>
  </si>
  <si>
    <t>White IP67 Omni 7-in-1 4x4 MIMO LTE 2x WIFI / GPS SMA / 1 Ft. Cable</t>
  </si>
  <si>
    <t>ANT-MB-42G-S-B-6</t>
  </si>
  <si>
    <t xml:space="preserve">Black IP67 Omni 7-in-1 4x4 MIMO LTE 2x WIFI / GPS SMA </t>
  </si>
  <si>
    <t>ANT-MB-42G-S-W-16</t>
  </si>
  <si>
    <t>ANT-MB-42G-S-W-6</t>
  </si>
  <si>
    <t xml:space="preserve">White IP67 Omni 7-in-1 4x4 MIMO LTE 2x WIFI / GPS SMA </t>
  </si>
  <si>
    <t>ANT-MR-10-N-W</t>
  </si>
  <si>
    <t>1x LTE/5G Cellular Antenna</t>
  </si>
  <si>
    <t>1x LTE/5G Cellular Antenna, IP68</t>
  </si>
  <si>
    <t>ANT-MR-20G-S-W-6</t>
  </si>
  <si>
    <t>2x MIMO LTE / GPS </t>
  </si>
  <si>
    <t>ANT-MR-40G-S-W-6</t>
  </si>
  <si>
    <t>4x4 MIMO LTE / GPS </t>
  </si>
  <si>
    <t xml:space="preserve">4x4 MIMO 5G Ready Cellular Antenna System with GPS </t>
  </si>
  <si>
    <t>ANT-MB-82G-S-W-6</t>
  </si>
  <si>
    <t>8x8 MIMO LTE+5G / 2x Wi-Fi / GPS</t>
  </si>
  <si>
    <t>White IP67 Omni 8x8 MIMO LTE+5G 2x Wi-Fi / 1x GPS SMA</t>
  </si>
  <si>
    <t>ANT-MB-82G-Q-W-6</t>
  </si>
  <si>
    <t>White IP67 Omni 8x8 MIMO LTE+5G 2x Wi-Fi / 1x GPS QMA</t>
  </si>
  <si>
    <t>ANT-SLM-22G-S-B-6</t>
  </si>
  <si>
    <t>Peplink 22G Slim Antenna</t>
  </si>
  <si>
    <t>Black 2x2 MIMO 5G+LTE, 2x W-Fi, 1x GPS SMA/RP-SMA adapters</t>
  </si>
  <si>
    <t>ANT-SLM-40G-S-B-6</t>
  </si>
  <si>
    <t>Peplink 40G Slim Antenna</t>
  </si>
  <si>
    <t xml:space="preserve">Black 4x4 MIMO 5G Ready Cellular Antenna System with GPS </t>
  </si>
  <si>
    <t>Accessories</t>
  </si>
  <si>
    <t>ACW-102</t>
  </si>
  <si>
    <t>Passive PoE Injector</t>
  </si>
  <si>
    <t>for BR1 Mini, AP Pro, and DC IP67</t>
  </si>
  <si>
    <t>ACW-107</t>
  </si>
  <si>
    <t>802.3af/at PoE Injector</t>
  </si>
  <si>
    <t>IEEE 802.3af/at compliant</t>
  </si>
  <si>
    <t>ACW-109</t>
  </si>
  <si>
    <t>for IP55 Outdoor Products </t>
  </si>
  <si>
    <t xml:space="preserve">ACW-202 </t>
  </si>
  <si>
    <t xml:space="preserve">8dBi Omni Antenna </t>
  </si>
  <si>
    <t>2.4GHz Outdoor,  N-Male Connector</t>
  </si>
  <si>
    <t>ACW-205</t>
  </si>
  <si>
    <t xml:space="preserve">3dBi Cellular Antenna </t>
  </si>
  <si>
    <t>Indoor, Magnetic, for 3G, SMA</t>
  </si>
  <si>
    <t>ACW-221</t>
  </si>
  <si>
    <t>5dBi 2.4GHz  Wi-Fi Indoor Omni Antenna</t>
  </si>
  <si>
    <t>Magnetic Base</t>
  </si>
  <si>
    <t xml:space="preserve">ACW-232 </t>
  </si>
  <si>
    <t>GPS Antenna</t>
  </si>
  <si>
    <t>Magnetic GPS</t>
  </si>
  <si>
    <t xml:space="preserve">ACW-235 </t>
  </si>
  <si>
    <t>Cellular Antenna</t>
  </si>
  <si>
    <t>Indoor LTE/5G very Wideband Cellular Antenna</t>
  </si>
  <si>
    <t xml:space="preserve">ACW-308 </t>
  </si>
  <si>
    <t>Outdoor, 5.8GHz, N-Male Connector</t>
  </si>
  <si>
    <t>ACW-341</t>
  </si>
  <si>
    <t>5dBi Omni Antenna</t>
  </si>
  <si>
    <t>Dual-Band Wi-Fi Indoor Omni Antenna</t>
  </si>
  <si>
    <t>ACW-342</t>
  </si>
  <si>
    <t>6dBi Indoor Dual-Band Wi-Fi Antenna</t>
  </si>
  <si>
    <t xml:space="preserve">For BR1 Mini HW3 </t>
  </si>
  <si>
    <t>ACW-409</t>
  </si>
  <si>
    <t>Magnetic Antenna Base</t>
  </si>
  <si>
    <t xml:space="preserve">Magnetic Antenna Base, 1.5M cord, SMA-M to SMA-F </t>
  </si>
  <si>
    <t xml:space="preserve">ACW-411 </t>
  </si>
  <si>
    <t>BR1 Mini Port Adapter</t>
  </si>
  <si>
    <t>Enables RS-232 console port</t>
  </si>
  <si>
    <t>ACW-510</t>
  </si>
  <si>
    <t>Ball Joint Mount</t>
  </si>
  <si>
    <t>for IP55 Outdoor Products</t>
  </si>
  <si>
    <t xml:space="preserve">ACW-511 </t>
  </si>
  <si>
    <t>SIM Extender</t>
  </si>
  <si>
    <t>approximately 16"</t>
  </si>
  <si>
    <t>ACW-601-US</t>
  </si>
  <si>
    <t>12V2A Power Supply</t>
  </si>
  <si>
    <t>for MAX HD2 Mini, BR1 LTE, and BR1 ENT</t>
  </si>
  <si>
    <t>ACW-602-US</t>
  </si>
  <si>
    <t>12V3A Power Supply</t>
  </si>
  <si>
    <t>Power Supply compatible with MAX 700, and HD2</t>
  </si>
  <si>
    <t>ACW-609-US</t>
  </si>
  <si>
    <t>PoE Activation Kit</t>
  </si>
  <si>
    <t>for HD4, HD2 Mini, HD2/HD4 MF, MF 200,BR1-Ent</t>
  </si>
  <si>
    <t>ACW-614-US</t>
  </si>
  <si>
    <t>Type A (US) DC Power Supply</t>
  </si>
  <si>
    <t>Balance 305, Balance 380, Balance 580, Balance 710, Balance 1350, Balance 2500 (Requires 2 units per Balance 2500), Balance Two, 8 port SD Switch, 16 port SD Switch</t>
  </si>
  <si>
    <t>ACW-618-US</t>
  </si>
  <si>
    <t>PoE+ Activation Kit Twin Pack</t>
  </si>
  <si>
    <t>for BR1 ENT, HD4, HD2, HD2 Mini, Max 700 &amp; SIM Injector</t>
  </si>
  <si>
    <t>ACW-622-US</t>
  </si>
  <si>
    <t>For BR1 ENT, HD4, HD2, HD2 Mini, MAX 700</t>
  </si>
  <si>
    <t>ACW-630-US</t>
  </si>
  <si>
    <t>Power Supply</t>
  </si>
  <si>
    <t>1 x 54V, 3.34A Power Supply for HD4 MBX, MBX Mini, SD Switch Rugged</t>
  </si>
  <si>
    <t>ACW-632-US</t>
  </si>
  <si>
    <t>Power Supply TST-Mini</t>
  </si>
  <si>
    <t>110V AC power supply for the MAX Transit Mini</t>
  </si>
  <si>
    <t>ACW-633-US</t>
  </si>
  <si>
    <t>Power Supply 8-Port PoE+ Twin Pack</t>
  </si>
  <si>
    <t>2x 54V, 3.34A Power Supply Enables 8 PoE+ outputs for MAX HD4 MBX/SD Switch Rugged</t>
  </si>
  <si>
    <t>ACW-634</t>
  </si>
  <si>
    <t>10ft DC Power Cable</t>
  </si>
  <si>
    <t>for MAX Transit Mini or BR1 Classic (HW3)</t>
  </si>
  <si>
    <t>ACW-643</t>
  </si>
  <si>
    <t>Vehicle Cigarette to Molex Power Cable</t>
  </si>
  <si>
    <t>for MAX BR1 Pro (CAT 6 &amp; 5G), MAX Transit (MINI, CORE, PROE, PRO) , UBR LTE</t>
  </si>
  <si>
    <t>ACW-650</t>
  </si>
  <si>
    <t>ANT-MB Thread</t>
  </si>
  <si>
    <t>For MAX HD1 Dome / MAX HD2 Dome</t>
  </si>
  <si>
    <t>ACW-651</t>
  </si>
  <si>
    <t>1" 14TPI female to ANT-MB thread</t>
  </si>
  <si>
    <t>For MAX HD1 Dome, MAX HD2 Dome, Dome Pro Duo, Mobility 02, Mobility 20G, Mobility 22G, Mobility 40G, Mobility 42G</t>
  </si>
  <si>
    <t>ACW-652</t>
  </si>
  <si>
    <t>1" 14TPI male adapter</t>
  </si>
  <si>
    <t>MAX HD1/HD2 Dome, Dome Pro Duo, Mobility 02/20G/22G/40G, Maritime 20G (except ANT-MR-20G-N-W-6), Maritime 40G (Deck Mount Set included in the Antenna Package)</t>
  </si>
  <si>
    <t>ACW-653</t>
  </si>
  <si>
    <t>1 1/4" 11TPI male adapter</t>
  </si>
  <si>
    <t>For Mobility Antennas and HD Dome. Compatible with: MAX HD1 Dome, MAX HD2 Dome, Dome Pro Duo, Mobility 02/20G/22G/40G/42G</t>
  </si>
  <si>
    <t>ACW-653A</t>
  </si>
  <si>
    <t>For MAX Antenna</t>
  </si>
  <si>
    <t>ACW-658</t>
  </si>
  <si>
    <t>3M Adhesive Antenna Mounting Gasket</t>
  </si>
  <si>
    <t>For Mobility 20G / Mobility 22G / Mobility 40G</t>
  </si>
  <si>
    <t>ACW-661</t>
  </si>
  <si>
    <t>For Mobility 42G</t>
  </si>
  <si>
    <t>ACW-663-US</t>
  </si>
  <si>
    <t>12V3A 4-Pin Power Supply</t>
  </si>
  <si>
    <t>For MAX BR2 5G</t>
  </si>
  <si>
    <t>ACW-668</t>
  </si>
  <si>
    <t>Magnetic Mount</t>
  </si>
  <si>
    <t>For Mobility 82G</t>
  </si>
  <si>
    <t>ACW-669-US</t>
  </si>
  <si>
    <t>54V1.2A 4-Pin Power Supply (For US)</t>
  </si>
  <si>
    <t>Compatible with Transit Pro E for PoE+ (802.3at) output (Cable Length: 5ft. / 1.5m)</t>
  </si>
  <si>
    <t>ACW-721</t>
  </si>
  <si>
    <t>Ear Mount Kit</t>
  </si>
  <si>
    <t>Standard Mount Ears for Balance 20/30/50 &amp; MAX 700/HD1/HD2</t>
  </si>
  <si>
    <t>ACW-722</t>
  </si>
  <si>
    <t>1U Rack Ear Mount</t>
  </si>
  <si>
    <t>For Balance 20/30/50 &amp; MAX 700/HD2</t>
  </si>
  <si>
    <t>ACW-731</t>
  </si>
  <si>
    <t>Ear Mounts</t>
  </si>
  <si>
    <t>For Balance 210/310 &amp; MAX HD4</t>
  </si>
  <si>
    <t>ACW-741</t>
  </si>
  <si>
    <t>Mounting Ears</t>
  </si>
  <si>
    <t>For SD PMU, includes screws</t>
  </si>
  <si>
    <t>ACW-749</t>
  </si>
  <si>
    <t>Class 1 Division 2 Mounting Kit</t>
  </si>
  <si>
    <t>For BR1 Mini (HW2)</t>
  </si>
  <si>
    <t>ACW-754</t>
  </si>
  <si>
    <t>SIM Cover </t>
  </si>
  <si>
    <t>For HD2 MBX / HD4 MBX</t>
  </si>
  <si>
    <t>ACW-758</t>
  </si>
  <si>
    <t>Compatible with Balance Two </t>
  </si>
  <si>
    <t>ACW-782</t>
  </si>
  <si>
    <t>Rack Mount</t>
  </si>
  <si>
    <t>For Balance 310 5G / Balance 310 Fiber</t>
  </si>
  <si>
    <t>ACW-783</t>
  </si>
  <si>
    <t>Mounting Kit for AP One AX Lite</t>
  </si>
  <si>
    <t>Ceiling Mount Base (9/16” T-Rail and 15/16” T-Rail), Mounting Screw Set</t>
  </si>
  <si>
    <t>ACW-791</t>
  </si>
  <si>
    <t>Peplink 4-pin to USB-C power cable</t>
  </si>
  <si>
    <t>Allows compatible routers to be charged with two concurrent power sources</t>
  </si>
  <si>
    <t>ACW-801</t>
  </si>
  <si>
    <t>3dBi Cellular Antenna</t>
  </si>
  <si>
    <t>Indoor, 3G, Magnetic, SMA</t>
  </si>
  <si>
    <t>ACW-808</t>
  </si>
  <si>
    <t>3dBi Omni Antenna</t>
  </si>
  <si>
    <t>Indoor, Cellular, Magnetic, SMA-M</t>
  </si>
  <si>
    <t>ACW-813</t>
  </si>
  <si>
    <t>Indoor Cellular Antenna</t>
  </si>
  <si>
    <t>ACW-816</t>
  </si>
  <si>
    <t>QMA-to-SMA adapters</t>
  </si>
  <si>
    <t>QMA-Male to SMA-Female adapters (Pack of 4)</t>
  </si>
  <si>
    <t>ACW-825</t>
  </si>
  <si>
    <t>2.4GHz &amp; 5GHz Outdoor Wi-Fi Antenna Kit</t>
  </si>
  <si>
    <t>For AP Pro AX and APO Pro Duo</t>
  </si>
  <si>
    <t>ACW-835</t>
  </si>
  <si>
    <t>Wi-Fi Antenna Kit</t>
  </si>
  <si>
    <t>For APP-AGN3</t>
  </si>
  <si>
    <t>ACW-882</t>
  </si>
  <si>
    <t>L-Mount Kit</t>
  </si>
  <si>
    <t>For Mobility 42G and Antenna MAX</t>
  </si>
  <si>
    <t>ACW-887</t>
  </si>
  <si>
    <t>Air Vent Port with Washer and Nut</t>
  </si>
  <si>
    <t>For BR1 IP67</t>
  </si>
  <si>
    <t>ACW-992</t>
  </si>
  <si>
    <t>Rack Mount Kit</t>
  </si>
  <si>
    <t>For Balance 310</t>
  </si>
  <si>
    <t>ACW-DIN-M2MS</t>
  </si>
  <si>
    <t>DIN Rail Mount</t>
  </si>
  <si>
    <t>For BR1 Slim/ BR1 Pro/ BR1 M2M/ UBR</t>
  </si>
  <si>
    <t>ACW-DIN-BR1-MINI</t>
  </si>
  <si>
    <t xml:space="preserve">DIN Rail Mount </t>
  </si>
  <si>
    <t>For MAX BR1 MINI (HW3) and AP ONE Rugged</t>
  </si>
  <si>
    <t>ACW-DIN-PSW8</t>
  </si>
  <si>
    <t>Ear Mounts/DIN Rail Mount kit</t>
  </si>
  <si>
    <t>For SD Switch 8-Port Rugged</t>
  </si>
  <si>
    <t>ACW-DIN-TST</t>
  </si>
  <si>
    <t>MAX Transit DIN Rail Mount</t>
  </si>
  <si>
    <t>DIN Rail mount kit that fits the MAX Transit, UBR Rugged, UBR Go</t>
  </si>
  <si>
    <t>ACW-DOM-SPT</t>
  </si>
  <si>
    <t>Ethernet Splitter for MAX HD Dome</t>
  </si>
  <si>
    <t>For MAX HD Dome</t>
  </si>
  <si>
    <t>BR2-MICRO-ACW-KIT</t>
  </si>
  <si>
    <t>BR2 Micro Accessory Kit</t>
  </si>
  <si>
    <t>ACW-414 x 4 (3m MMCX to SMA-F Magnetic Cellular Antenna Base), ACW-415 x 1 (5m MMCX Magnetic GPS Antenna), ACW-237 x 4 (3.8 GHz Cellular Antenna)</t>
  </si>
  <si>
    <t>ACW-SPLT-MAX</t>
  </si>
  <si>
    <t>Splitter Max (For Peplink devices w/o PoE Input)</t>
  </si>
  <si>
    <t>PoE Input: 802.3bt 48W (802.3af/at compatible) / DC Output: 12V, 48W</t>
  </si>
  <si>
    <t>EXC-NQ-15</t>
  </si>
  <si>
    <t>Extension Cable</t>
  </si>
  <si>
    <t>N-type male to QMA female | 15ft / 4.5m </t>
  </si>
  <si>
    <t>EXC-NSM-15</t>
  </si>
  <si>
    <t>N-type male to SMA male | 15ft / 4.5m</t>
  </si>
  <si>
    <t>EXC-NSM-30</t>
  </si>
  <si>
    <t>N-type male to SMA male | 30ft / 9m </t>
  </si>
  <si>
    <t>EXC-QQ-15</t>
  </si>
  <si>
    <t>QMA male to QMA female | 15ft / 4.5m </t>
  </si>
  <si>
    <t>EXC-RQ-15</t>
  </si>
  <si>
    <t>RP-SMA male to QMA female | 15ft / 4.5m </t>
  </si>
  <si>
    <t>EXC-RR-15</t>
  </si>
  <si>
    <t>RP-SMA male to RP-SMA female connector | 15ft / 4.5m </t>
  </si>
  <si>
    <t>EXC-RR-30</t>
  </si>
  <si>
    <t>RP-SMA male to RP-SMA female connector | 30 ft / 9m </t>
  </si>
  <si>
    <t>EXC-SQ-15</t>
  </si>
  <si>
    <t>SMA male to QMA female | 15ft / 4.5m </t>
  </si>
  <si>
    <t>EXC-SS-15</t>
  </si>
  <si>
    <t>SMA male to SMA female connector | 15ft / 4.5m </t>
  </si>
  <si>
    <t>EXC-SS-30</t>
  </si>
  <si>
    <t>SMA male to SMA female connector | 30ft / 9m</t>
  </si>
  <si>
    <t>PDX-BAT-KIT</t>
  </si>
  <si>
    <t>PDX Battery Kit</t>
  </si>
  <si>
    <t>1x Metal Clamp 1x Power Cable, 2x M3 Scr, 98Wh, 14.4V</t>
  </si>
  <si>
    <t>SFE-PDX-KIT</t>
  </si>
  <si>
    <t>SpeedFusion Engine Mounting Kit</t>
  </si>
  <si>
    <t>Peplink SpeedFusion Engine Duo Accessory Kit for PDX</t>
  </si>
  <si>
    <t>Frontier Premium Network Data (Poolable Plans)*</t>
  </si>
  <si>
    <t>Utilized Carriers</t>
  </si>
  <si>
    <t>Region</t>
  </si>
  <si>
    <t>Data Allotment</t>
  </si>
  <si>
    <t>Partner Price</t>
  </si>
  <si>
    <t>Partner Price Overages (per GB)</t>
  </si>
  <si>
    <t>Suggested Market Value</t>
  </si>
  <si>
    <t>Overage Suggested Market Value (per GB)</t>
  </si>
  <si>
    <t>North America</t>
  </si>
  <si>
    <t>1 GB</t>
  </si>
  <si>
    <t>3 GB</t>
  </si>
  <si>
    <t>10 GB</t>
  </si>
  <si>
    <t>Bell and Telus</t>
  </si>
  <si>
    <t>Canada</t>
  </si>
  <si>
    <t>Telefonica</t>
  </si>
  <si>
    <t>Mexico</t>
  </si>
  <si>
    <t>TMO, ATT, VZW</t>
  </si>
  <si>
    <t>US ONLY</t>
  </si>
  <si>
    <t>2 GB</t>
  </si>
  <si>
    <t>AT&amp;T Data Subscriptions*</t>
  </si>
  <si>
    <t>Plan Name</t>
  </si>
  <si>
    <t>Connection Speed</t>
  </si>
  <si>
    <t>Network</t>
  </si>
  <si>
    <t>Suggested Retail Price</t>
  </si>
  <si>
    <t>USA</t>
  </si>
  <si>
    <t>Wireless Broadband Core Plan</t>
  </si>
  <si>
    <r>
      <rPr>
        <rFont val="Calibri"/>
        <color theme="1"/>
        <sz val="10.0"/>
      </rPr>
      <t>25 Mbps</t>
    </r>
    <r>
      <rPr>
        <rFont val="Calibri"/>
        <color theme="1"/>
        <sz val="12.0"/>
      </rPr>
      <t>¹</t>
    </r>
  </si>
  <si>
    <r>
      <rPr>
        <rFont val="Calibri"/>
        <color theme="1"/>
        <sz val="10.0"/>
      </rPr>
      <t>300 GB</t>
    </r>
    <r>
      <rPr>
        <rFont val="Calibri"/>
        <color theme="1"/>
        <sz val="12.0"/>
      </rPr>
      <t>⁴</t>
    </r>
  </si>
  <si>
    <t>5G/4G</t>
  </si>
  <si>
    <t>Wireless Broadband Pro Plan</t>
  </si>
  <si>
    <r>
      <rPr>
        <rFont val="Calibri"/>
        <color theme="1"/>
        <sz val="10.0"/>
      </rPr>
      <t>50 Mbps</t>
    </r>
    <r>
      <rPr>
        <rFont val="Calibri"/>
        <color theme="1"/>
        <sz val="12.0"/>
      </rPr>
      <t>²</t>
    </r>
  </si>
  <si>
    <r>
      <rPr>
        <rFont val="Calibri"/>
        <color theme="1"/>
        <sz val="10.0"/>
      </rPr>
      <t>300 GB</t>
    </r>
    <r>
      <rPr>
        <rFont val="Calibri"/>
        <color theme="1"/>
        <sz val="12.0"/>
      </rPr>
      <t>⁴</t>
    </r>
  </si>
  <si>
    <t>Wireless Broadband Ultra Plan</t>
  </si>
  <si>
    <r>
      <rPr>
        <rFont val="Calibri"/>
        <color theme="1"/>
        <sz val="10.0"/>
      </rPr>
      <t>100 Mbps</t>
    </r>
    <r>
      <rPr>
        <rFont val="Calibri"/>
        <color theme="1"/>
        <sz val="12.0"/>
      </rPr>
      <t>³</t>
    </r>
  </si>
  <si>
    <r>
      <rPr>
        <rFont val="Calibri"/>
        <color theme="1"/>
        <sz val="10.0"/>
      </rPr>
      <t>300 GB</t>
    </r>
    <r>
      <rPr>
        <rFont val="Calibri"/>
        <color theme="1"/>
        <sz val="12.0"/>
      </rPr>
      <t>⁴</t>
    </r>
  </si>
  <si>
    <t>Verizon Data Subscriptions</t>
  </si>
  <si>
    <t>4G LTE Business Internet</t>
  </si>
  <si>
    <t>25 Mbps</t>
  </si>
  <si>
    <r>
      <rPr>
        <rFont val="Calibri"/>
        <color theme="1"/>
        <sz val="10.0"/>
      </rPr>
      <t>300 GB</t>
    </r>
    <r>
      <rPr>
        <rFont val="Calibri"/>
        <color theme="1"/>
        <sz val="12.0"/>
      </rPr>
      <t>⁴</t>
    </r>
  </si>
  <si>
    <t>4G</t>
  </si>
  <si>
    <t>50 Mbps</t>
  </si>
  <si>
    <r>
      <rPr>
        <rFont val="Calibri"/>
        <color theme="1"/>
        <sz val="10.0"/>
      </rPr>
      <t>300 GB</t>
    </r>
    <r>
      <rPr>
        <rFont val="Calibri"/>
        <color theme="1"/>
        <sz val="12.0"/>
      </rPr>
      <t>⁴</t>
    </r>
  </si>
  <si>
    <r>
      <rPr>
        <rFont val="Calibri"/>
        <color theme="1"/>
        <sz val="10.0"/>
      </rPr>
      <t>5G LTE Business Internet</t>
    </r>
    <r>
      <rPr>
        <rFont val="Calibri"/>
        <color theme="1"/>
        <sz val="12.0"/>
      </rPr>
      <t>⁵</t>
    </r>
  </si>
  <si>
    <t>100 Mbps</t>
  </si>
  <si>
    <t>Unlimited</t>
  </si>
  <si>
    <t>5G</t>
  </si>
  <si>
    <r>
      <rPr>
        <rFont val="Calibri"/>
        <color theme="1"/>
        <sz val="10.0"/>
      </rPr>
      <t>5G LTE Business Internet</t>
    </r>
    <r>
      <rPr>
        <rFont val="Calibri"/>
        <color theme="1"/>
        <sz val="12.0"/>
      </rPr>
      <t>⁵</t>
    </r>
  </si>
  <si>
    <t>200 Mbps</t>
  </si>
  <si>
    <t>T-Mobile Data Subscriptions</t>
  </si>
  <si>
    <r>
      <rPr>
        <rFont val="Calibri"/>
        <color theme="1"/>
        <sz val="10.0"/>
      </rPr>
      <t>5G/LTE Business Internet</t>
    </r>
    <r>
      <rPr>
        <rFont val="Calibri"/>
        <color theme="1"/>
        <sz val="10.0"/>
        <vertAlign val="superscript"/>
      </rPr>
      <t>6</t>
    </r>
  </si>
  <si>
    <t>No Speed Limit</t>
  </si>
  <si>
    <t>POTS/VoLTE Plans (for Peplink POTS Adapters)</t>
  </si>
  <si>
    <t>Carrier</t>
  </si>
  <si>
    <t>T-Mobile</t>
  </si>
  <si>
    <r>
      <rPr>
        <rFont val="Calibri"/>
        <color theme="1"/>
        <sz val="10.0"/>
      </rPr>
      <t>POTS</t>
    </r>
    <r>
      <rPr>
        <rFont val="Calibri"/>
        <color theme="1"/>
        <sz val="11.0"/>
        <vertAlign val="superscript"/>
      </rPr>
      <t>7</t>
    </r>
  </si>
  <si>
    <t>500 Minutes or 500  MB</t>
  </si>
  <si>
    <t>Verizon</t>
  </si>
  <si>
    <r>
      <rPr>
        <rFont val="Calibri"/>
        <color theme="1"/>
        <sz val="10.0"/>
      </rPr>
      <t xml:space="preserve">POTS </t>
    </r>
    <r>
      <rPr>
        <rFont val="Calibri"/>
        <color theme="1"/>
        <sz val="11.0"/>
        <vertAlign val="superscript"/>
      </rPr>
      <t>8</t>
    </r>
  </si>
  <si>
    <t>*Premium Network and AT&amp;T Data Plans are billed through a 3rd party platform – additional fees apply. Platform gives access to billing information, visibility into data usage, and ensures compliance.</t>
  </si>
  <si>
    <r>
      <rPr>
        <rFont val="Calibri"/>
        <color theme="1"/>
        <sz val="12.0"/>
      </rPr>
      <t>¹</t>
    </r>
    <r>
      <rPr>
        <rFont val="Calibri"/>
        <color theme="1"/>
        <sz val="11.0"/>
      </rPr>
      <t xml:space="preserve"> Data speed up to 25 Mbps. After 100 GB, AT&amp;T may temporarily slow data speeds if the network is busy. </t>
    </r>
  </si>
  <si>
    <r>
      <rPr>
        <rFont val="Calibri"/>
        <color theme="1"/>
        <sz val="12.0"/>
      </rPr>
      <t xml:space="preserve">² </t>
    </r>
    <r>
      <rPr>
        <rFont val="Calibri"/>
        <color theme="1"/>
        <sz val="11.0"/>
      </rPr>
      <t xml:space="preserve">Data speed up to 50 Mbps. After 125 GB, AT&amp;T may temporarily slow data speeds if the network is busy. </t>
    </r>
  </si>
  <si>
    <r>
      <rPr>
        <rFont val="Calibri"/>
        <color theme="1"/>
        <sz val="12.0"/>
      </rPr>
      <t>³</t>
    </r>
    <r>
      <rPr>
        <rFont val="Calibri"/>
        <color theme="1"/>
        <sz val="11.0"/>
      </rPr>
      <t xml:space="preserve"> Data speed up to 100 Mbps. After 175 GB, AT&amp;T may temporarily slow data speeds if the network is busy. </t>
    </r>
  </si>
  <si>
    <r>
      <rPr>
        <rFont val="Calibri"/>
        <color theme="1"/>
        <sz val="12.0"/>
      </rPr>
      <t>⁴</t>
    </r>
    <r>
      <rPr>
        <rFont val="Calibri"/>
        <color theme="1"/>
        <sz val="11.0"/>
      </rPr>
      <t xml:space="preserve"> If you exceed the included data per line during your billing period, a pay per use rate of $15 for each 5GB of data will apply.</t>
    </r>
  </si>
  <si>
    <r>
      <rPr>
        <rFont val="Calibri"/>
        <color theme="1"/>
        <sz val="12.0"/>
      </rPr>
      <t>⁵</t>
    </r>
    <r>
      <rPr>
        <rFont val="Calibri"/>
        <color theme="1"/>
        <sz val="11.0"/>
      </rPr>
      <t xml:space="preserve"> Address verification and service availability required for Verizon 5G. Must be a qualified 5G device. If service not available, 4G LTE will be provided and service location will be added to top of list once 5G becomes available.</t>
    </r>
  </si>
  <si>
    <r>
      <rPr>
        <rFont val="Calibri"/>
        <color theme="1"/>
        <sz val="11.0"/>
        <vertAlign val="superscript"/>
      </rPr>
      <t>6</t>
    </r>
    <r>
      <rPr>
        <rFont val="Calibri"/>
        <color theme="1"/>
        <sz val="11.0"/>
      </rPr>
      <t xml:space="preserve"> Only available for business accounts. Residential use, including short-term rentals and hotels, is prohibited.
   Billing Cycle begins on 19th of each month. Billing and Data amount is prorated based on the cycle date. </t>
    </r>
  </si>
  <si>
    <r>
      <rPr>
        <rFont val="Calibri"/>
        <color theme="1"/>
        <sz val="11.0"/>
        <vertAlign val="superscript"/>
      </rPr>
      <t>7</t>
    </r>
    <r>
      <rPr>
        <rFont val="Calibri"/>
        <color theme="1"/>
        <sz val="11.0"/>
      </rPr>
      <t xml:space="preserve"> Billing Cycle begins on 1st of each month. Billing and Data amount is prorated based on the cycle date. T-Mobile POTS Plans are billed through a 3rd party platform – additional fees apply. Platform gives access to billing information, visibility into data usage, and ensures compliance.</t>
    </r>
  </si>
  <si>
    <r>
      <rPr>
        <rFont val="Calibri"/>
        <color theme="1"/>
        <sz val="11.0"/>
        <vertAlign val="superscript"/>
      </rPr>
      <t>8</t>
    </r>
    <r>
      <rPr>
        <rFont val="Calibri"/>
        <color theme="1"/>
        <sz val="11.0"/>
      </rPr>
      <t xml:space="preserve"> Billing Cycle begins on 12th of each month. Billing and Data amount is prorated based on the cycle date. </t>
    </r>
  </si>
  <si>
    <t>Product Code</t>
  </si>
  <si>
    <t xml:space="preserve">Description </t>
  </si>
  <si>
    <t xml:space="preserve"> Price</t>
  </si>
  <si>
    <t>Frontier Advanced Configuration Services</t>
  </si>
  <si>
    <t>ACS-ACSP</t>
  </si>
  <si>
    <t>Standard Configuration</t>
  </si>
  <si>
    <t>Log &amp; Report Device Details / License Key Installation / SIM Card Installation / Firmware Upgrade / Configuration Access / Product Repackaging</t>
  </si>
  <si>
    <t>Add-On Services with Standard Configuration</t>
  </si>
  <si>
    <t>ACS-ACSP-PBL</t>
  </si>
  <si>
    <t>Partner Branded Label paired with
Standard Configuration</t>
  </si>
  <si>
    <t>Applies labels provided by the Partner that may include Partner name, logo, contact, and support information, or other information that is not specific to a serial number</t>
  </si>
  <si>
    <t>ACS-ACSP-EMI</t>
  </si>
  <si>
    <t>Expansion Module Installation paired
with Standard Configuration</t>
  </si>
  <si>
    <t>Installs expansion module to support a wide variety of WAN technology.</t>
  </si>
  <si>
    <t>ACS-ACSP-ESIM</t>
  </si>
  <si>
    <t>Loading eSIM profile when paired
with Standard Configuration</t>
  </si>
  <si>
    <t>Frontier will load your eSIM profile to the router</t>
  </si>
  <si>
    <t>Standalone Services</t>
  </si>
  <si>
    <t>ACS-EMI</t>
  </si>
  <si>
    <t xml:space="preserve">Expansion Module Installation </t>
  </si>
  <si>
    <t>ACS-ESIM</t>
  </si>
  <si>
    <t>Loading eSIM Profile</t>
  </si>
  <si>
    <t>ACS-SNSL</t>
  </si>
  <si>
    <t>Serial Number Specific Labeling</t>
  </si>
  <si>
    <t>Affixes labels provided by the Partner to each device with information specific to its individual serial number</t>
  </si>
  <si>
    <t>ACS-LKI</t>
  </si>
  <si>
    <t>License Key Installation</t>
  </si>
  <si>
    <t>Loads and activates the license key prior to shipping (included in Standard Package)</t>
  </si>
  <si>
    <t>ACS-SCI</t>
  </si>
  <si>
    <t>Sim Card Installation</t>
  </si>
  <si>
    <t>Installs SIM cards provided by the Partner (included in Standard Package)</t>
  </si>
  <si>
    <t>ACS-PBL</t>
  </si>
  <si>
    <t xml:space="preserve">Partner Branded Labeling </t>
  </si>
  <si>
    <t>Contact your Frontier Channel Development Representative or Channel Development Manager for more information</t>
  </si>
  <si>
    <t>EOL Device Software Skus</t>
  </si>
  <si>
    <t>Compatible Product</t>
  </si>
  <si>
    <t>SVL-412</t>
  </si>
  <si>
    <t>APO-ENT</t>
  </si>
  <si>
    <t>SVL-512</t>
  </si>
  <si>
    <t xml:space="preserve">APO-RUG </t>
  </si>
  <si>
    <t>APO-RUG / APO-ENT</t>
  </si>
  <si>
    <t>SVL-667</t>
  </si>
  <si>
    <t>APP-AGN3</t>
  </si>
  <si>
    <t>SVL-668</t>
  </si>
  <si>
    <t>SVL-443</t>
  </si>
  <si>
    <t>BPL-031-LTEA-W-T</t>
  </si>
  <si>
    <t>SVL-530</t>
  </si>
  <si>
    <t>BPL-031-PRO-LC-SF</t>
  </si>
  <si>
    <t>Bonding License</t>
  </si>
  <si>
    <t xml:space="preserve">BPL-031-LTEA-W-T </t>
  </si>
  <si>
    <t>ICS-V03-1Y</t>
  </si>
  <si>
    <t>BPL-031-LTEA-W-T / BPL-031-LTE-US-T</t>
  </si>
  <si>
    <t>ICS-V03-2Y</t>
  </si>
  <si>
    <t>SVL-739</t>
  </si>
  <si>
    <t>BPL-031-LTE-US-T</t>
  </si>
  <si>
    <t>SVL-603</t>
  </si>
  <si>
    <t>FIPS-LC-B210</t>
  </si>
  <si>
    <t>BPL-210</t>
  </si>
  <si>
    <t>BPL-210-LC-WAN</t>
  </si>
  <si>
    <t>5 PepVPN License Key</t>
  </si>
  <si>
    <t>SVL-706</t>
  </si>
  <si>
    <t>SVL-605</t>
  </si>
  <si>
    <t>ECP-BPL-210-1Y</t>
  </si>
  <si>
    <t>ECP-BPL-210-2Y</t>
  </si>
  <si>
    <t>ECP-BPL-210-4Y</t>
  </si>
  <si>
    <t>SVL-768</t>
  </si>
  <si>
    <t xml:space="preserve">BPL-ONE </t>
  </si>
  <si>
    <t>SVL-657</t>
  </si>
  <si>
    <t>BPL-ONE-LC-SF</t>
  </si>
  <si>
    <t>SpeedFusion License Key</t>
  </si>
  <si>
    <t>BPL-ONE / BPL-ONE-CORE</t>
  </si>
  <si>
    <t>BPL-ONE-LC-5WAN</t>
  </si>
  <si>
    <t>SVL-411</t>
  </si>
  <si>
    <t>BPL-ONE-CORE</t>
  </si>
  <si>
    <t>SVL-511</t>
  </si>
  <si>
    <t>SVL-709</t>
  </si>
  <si>
    <t>DCS-RUG</t>
  </si>
  <si>
    <t>SVL-660</t>
  </si>
  <si>
    <t>ECP-MAX-BR1-LTEA-1Y</t>
  </si>
  <si>
    <t>MAX-BR1-LTEA-W-IP67</t>
  </si>
  <si>
    <t>ECP-MAX-BR1-LTEA-2Y</t>
  </si>
  <si>
    <t>ECP-MAX-BR1-LTEA-4Y</t>
  </si>
  <si>
    <t>SVL-470</t>
  </si>
  <si>
    <t>SVL-574</t>
  </si>
  <si>
    <t>5 Peer SF License</t>
  </si>
  <si>
    <t>MAX-LC-DIM</t>
  </si>
  <si>
    <t>BR1 Series Drop-in Mode</t>
  </si>
  <si>
    <t>ECP-MAX-BR1-1Y</t>
  </si>
  <si>
    <t>MAX-BR1-LTEA-W-T / MAX-BR1-LTE-US-T</t>
  </si>
  <si>
    <t>ECP-MAX-BR1-2Y</t>
  </si>
  <si>
    <t>ECP-MAX-BR1-4Y</t>
  </si>
  <si>
    <t>SVL-723</t>
  </si>
  <si>
    <t>SVL-645</t>
  </si>
  <si>
    <t>SVL-799</t>
  </si>
  <si>
    <t>MAX-BR1-M2M-LTE-US-T</t>
  </si>
  <si>
    <t>SVL-699</t>
  </si>
  <si>
    <t>ECP-MAX-BR1-M2M-1Y</t>
  </si>
  <si>
    <t>ECP-MAX-BR1-M2M-2Y</t>
  </si>
  <si>
    <t>ECP-MAX-BR1-M2M-4Y</t>
  </si>
  <si>
    <t>SVL-418</t>
  </si>
  <si>
    <t>MAX-BR1-MINI-LTEA-W-T</t>
  </si>
  <si>
    <t>SVL-518</t>
  </si>
  <si>
    <t>SVL-419</t>
  </si>
  <si>
    <t>MAX-BR1-MINI-LTE-US-T</t>
  </si>
  <si>
    <t>SVL-519</t>
  </si>
  <si>
    <t>MAX-BR1-MINI-LC-FS</t>
  </si>
  <si>
    <t>Failover License Software Add-On</t>
  </si>
  <si>
    <t>MAX-BR1-MINI-LTE-US-T / MAX-BR1-MINI-LTEA-W-T</t>
  </si>
  <si>
    <t>ECP-MAX-BR1-MK2-LTEA-1Y</t>
  </si>
  <si>
    <t>MAX-BR1-MK2-LTEA-W-T</t>
  </si>
  <si>
    <t>ECP-MAX-BR1-MK2-LTEA-2Y</t>
  </si>
  <si>
    <t>ECP-MAX-BR1-MK2-LTEA-4Y</t>
  </si>
  <si>
    <t>SVL-430</t>
  </si>
  <si>
    <t>SVL-690</t>
  </si>
  <si>
    <t>ECP-MAX-BR1-MK2-LTE-1Y</t>
  </si>
  <si>
    <t>MAX-BR1-MK2-LTE-US-T</t>
  </si>
  <si>
    <t>ECP-MAX-BR1-MK2-LTE-2Y</t>
  </si>
  <si>
    <t>ECP-MAX-BR1-MK2-LTE-4Y</t>
  </si>
  <si>
    <t>SVL-429</t>
  </si>
  <si>
    <t>SVL-590</t>
  </si>
  <si>
    <t>ECP-BR1-PRO-LTEA-1Y</t>
  </si>
  <si>
    <t>MAX-BR1-PRO-LTEA-W-T</t>
  </si>
  <si>
    <t>ECP-BR1-PRO-LTEA-2Y</t>
  </si>
  <si>
    <t>ECP-BR1-PRO-LTEA-4Y</t>
  </si>
  <si>
    <t>SVL-437</t>
  </si>
  <si>
    <t>SVL-665</t>
  </si>
  <si>
    <t>5 SF Peers License</t>
  </si>
  <si>
    <t>ECP-BR1-PRO-LTE-1Y</t>
  </si>
  <si>
    <t>MAX-BR1-PRO-LTE-US-T</t>
  </si>
  <si>
    <t>ECP-BR1-PRO-LTE-2Y</t>
  </si>
  <si>
    <t>ECP-BR1-PRO-LTE-4Y</t>
  </si>
  <si>
    <t>SVL-777</t>
  </si>
  <si>
    <t>SVL-677</t>
  </si>
  <si>
    <t>SVL-565</t>
  </si>
  <si>
    <t>MAX-BR1-SLIM-LTEA-W-T</t>
  </si>
  <si>
    <t>PSC-261</t>
  </si>
  <si>
    <t>1-Year SmartCare</t>
  </si>
  <si>
    <t>PSC-489</t>
  </si>
  <si>
    <t>3-Year SmartCare</t>
  </si>
  <si>
    <t>SVL-796</t>
  </si>
  <si>
    <t>MAX-BR1-SLIM-LTE-US-T</t>
  </si>
  <si>
    <t>SVL-696</t>
  </si>
  <si>
    <t>PSC-206</t>
  </si>
  <si>
    <t>PSC-399</t>
  </si>
  <si>
    <t>ECP-MAX-HD2-MFA-LTE-1Y</t>
  </si>
  <si>
    <t xml:space="preserve">MAX-HD2-MFA-LTE-US-T </t>
  </si>
  <si>
    <t>ECP-MAX-HD2-MFA-LTE-2Y</t>
  </si>
  <si>
    <t>ECP-MAX-HD2-MFA-LTE-4Y</t>
  </si>
  <si>
    <t>SVL-775</t>
  </si>
  <si>
    <t>SVL-675</t>
  </si>
  <si>
    <t>SVL-734</t>
  </si>
  <si>
    <t>MAX-HD4-LTE-US-T</t>
  </si>
  <si>
    <t>SVL-656</t>
  </si>
  <si>
    <t>ECP-MAX-HD4-LTE-1Y</t>
  </si>
  <si>
    <t>ECP-MAX-HD4-LTE-2Y</t>
  </si>
  <si>
    <t>ECP-MAX-HD4-LTE-4Y</t>
  </si>
  <si>
    <t>ECP-MAX-HD4-MFA-LTE-1Y</t>
  </si>
  <si>
    <t>MAX-HD4-MFA-LTE-US-T</t>
  </si>
  <si>
    <t>ECP-MAX-HD4-MFA-LTE-2Y</t>
  </si>
  <si>
    <t>ECP-MAX-HD4-MFA-LTE-4Y</t>
  </si>
  <si>
    <t>SVL-776</t>
  </si>
  <si>
    <t>SVL-676</t>
  </si>
  <si>
    <t>MAX-TST-5GD-T-PRM</t>
  </si>
  <si>
    <t>MAX-TST-DUO-LTEA-R-T-PRM / MAX-TST-DUO-LTEA-W-T-PRM / MAX-TST-DUO-LTEA-K-T-PRM</t>
  </si>
  <si>
    <t>PRM-MAX-TST-GLTE-G-1Y</t>
  </si>
  <si>
    <t>MAX-TST-GLTE-G-T-PRM</t>
  </si>
  <si>
    <t>PRM-MAX-TST-GLTE-G-2Y</t>
  </si>
  <si>
    <t>PRM-MAX-TST-GLTE-G-4Y</t>
  </si>
  <si>
    <t>PCP-MAX-TST-GLTE-G-1Y</t>
  </si>
  <si>
    <t>PCP-MAX-TST-GLTE-G-2Y</t>
  </si>
  <si>
    <t>PCP-MAX-TST-GLTE-G-4Y</t>
  </si>
  <si>
    <t>SVL-424</t>
  </si>
  <si>
    <t>1 Year EssentialCare</t>
  </si>
  <si>
    <t xml:space="preserve">MAX-TST-LTEA-R-T  </t>
  </si>
  <si>
    <t>SVL-525</t>
  </si>
  <si>
    <t>2 Year EssentialCare</t>
  </si>
  <si>
    <t>MAX-TST-MINI-LTE-F-T-PRM</t>
  </si>
  <si>
    <t>MAX-TST-PROE-LTEA-R-T-PRM</t>
  </si>
  <si>
    <t>PRB-AC2 / PRB-AC3</t>
  </si>
  <si>
    <t>SVL-475</t>
  </si>
  <si>
    <t>SFE-DUO-LTEA-W-ET</t>
  </si>
  <si>
    <t>SVL-581</t>
  </si>
  <si>
    <t>SFE-DUO-LTEA-W-ET / SFE-DUO-LTE-US-ET</t>
  </si>
  <si>
    <t>SVL-474</t>
  </si>
  <si>
    <t>SFE-DUO-LTE-US-ET</t>
  </si>
  <si>
    <t>SVL-580</t>
  </si>
  <si>
    <t>SVL-757</t>
  </si>
  <si>
    <t>SUS-SOHO-T</t>
  </si>
  <si>
    <t>SVL-635</t>
  </si>
  <si>
    <t>SVL-436</t>
  </si>
  <si>
    <t>MAX-HD2-LTEA-WF-T</t>
  </si>
  <si>
    <t>SVL-528</t>
  </si>
  <si>
    <t>ECP-MAX-HD2-LTEA-1Y</t>
  </si>
  <si>
    <t>ECP-MAX-HD2-LTEA-2Y</t>
  </si>
  <si>
    <t>ECP-MAX-HD2-LTEA-4Y</t>
  </si>
  <si>
    <t xml:space="preserve">SVL-MAX-HD1-DOM-M-GLTE-G-1Y </t>
  </si>
  <si>
    <t>MAX-HD1-DOM-M-GLTE-G</t>
  </si>
  <si>
    <t xml:space="preserve">SVL-MAX-HD1-DOM-M-GLTE-G-2Y </t>
  </si>
  <si>
    <t>ECP-MAX-HD1-DOM-M-GLTE-G-1Y</t>
  </si>
  <si>
    <t>ECP-MAX-HD1-DOM-M-GLTE-G-2Y</t>
  </si>
  <si>
    <t>ECP-MAX-HD1-DOM-M-GLTE-G-4Y</t>
  </si>
  <si>
    <t>MAX-BR1-LTEA-W-IP68</t>
  </si>
  <si>
    <t>MAX-BR1-LTEA-W-IP69</t>
  </si>
  <si>
    <t>MAX-BR1-LTEA-W-IP70</t>
  </si>
  <si>
    <t>MAX-BR1-LTEA-W-IP71</t>
  </si>
  <si>
    <t>MAX-BR1-LTEA-W-IP72</t>
  </si>
  <si>
    <t>MAX-BR1-LTEA-W-IP73</t>
  </si>
  <si>
    <t>MAX-BR1-LTEA-W-IP74</t>
  </si>
  <si>
    <t>MAX-BR1-LTEA-W-IP75</t>
  </si>
  <si>
    <t>MAX-BR1-LTEA-W-IP76</t>
  </si>
  <si>
    <t>UBR-LTE-US-T-PRM</t>
  </si>
  <si>
    <t>APO-FLX</t>
  </si>
  <si>
    <t>BPL-021X-LTE-US-T-PRM / BPL-021X-LTEA-US-T-PRM</t>
  </si>
  <si>
    <t>BPL-021-LC-WAN</t>
  </si>
  <si>
    <t>BPL-021</t>
  </si>
  <si>
    <t>BPL-LC-DIM</t>
  </si>
  <si>
    <t>Drop-in Mode key</t>
  </si>
  <si>
    <t>SFA-FP-100M</t>
  </si>
  <si>
    <t>SFA Feature Pack</t>
  </si>
  <si>
    <t>SVL-705</t>
  </si>
  <si>
    <t>SVL-601</t>
  </si>
  <si>
    <t>UBR-PLUS-LTEA-US-T-PRM</t>
  </si>
  <si>
    <t>SVL-772</t>
  </si>
  <si>
    <t>MFA-200-W</t>
  </si>
  <si>
    <t>SVL-672</t>
  </si>
  <si>
    <t>ECP-MFA-200-1Y</t>
  </si>
  <si>
    <t>ECP-MFA-200-2Y</t>
  </si>
  <si>
    <t>ECP-MFA-200-4Y</t>
  </si>
  <si>
    <t>ICS-B03-1Y</t>
  </si>
  <si>
    <t>ICS-B03-2Y</t>
  </si>
  <si>
    <t>ECP-MAX-HD4-LTEA-1Y</t>
  </si>
  <si>
    <t xml:space="preserve">MAX-HD4-LTEA-W-T / MAX-HD4-LTEA-WF-T  </t>
  </si>
  <si>
    <t>ECP-MAX-HD4-LTEA-2Y</t>
  </si>
  <si>
    <t>ECP-MAX-HD4-LTEA-4Y</t>
  </si>
  <si>
    <t>SVL-464</t>
  </si>
  <si>
    <t>SVL-527</t>
  </si>
  <si>
    <t>FIPS-LC-HD4</t>
  </si>
  <si>
    <t>SVL-420</t>
  </si>
  <si>
    <t xml:space="preserve">MAX-BR1-ENT-LTEA-W-T / MAX-BR1-ENT-LTEA-R-T   </t>
  </si>
  <si>
    <t>SVL-520</t>
  </si>
  <si>
    <t>ECP-MAX-BR1-ENT-LTEA-1Y</t>
  </si>
  <si>
    <t>ECP-MAX-BR1-ENT-LTEA-2Y</t>
  </si>
  <si>
    <t>ECP-MAX-BR1-ENT-LTEA-4Y</t>
  </si>
  <si>
    <t>FIPS-LC-BR1-ENT</t>
  </si>
  <si>
    <t>ACW-622</t>
  </si>
  <si>
    <t>10 PepVPN License Key</t>
  </si>
  <si>
    <t>MAX-TST-DUO-CORE-LTEA-R-T-PRM</t>
  </si>
  <si>
    <t>SVL-MAX-ADP-LTEA-WP-1Y</t>
  </si>
  <si>
    <t>MAX-ADP-LTEA-W-T</t>
  </si>
  <si>
    <t>SVL-MAX-ADP-LTEA-WP-2Y</t>
  </si>
  <si>
    <t>MAX-HD1-DOM-PRO-5GH</t>
  </si>
  <si>
    <t>SVL-426</t>
  </si>
  <si>
    <t>PSW-24-850W</t>
  </si>
  <si>
    <t>SVL-524</t>
  </si>
  <si>
    <t>ECP-E-1Y</t>
  </si>
  <si>
    <t>ECP-E-2Y</t>
  </si>
  <si>
    <t>ECP-E-4Y</t>
  </si>
  <si>
    <t>SVL-514</t>
  </si>
  <si>
    <t>PSW-24-250W-RUG</t>
  </si>
  <si>
    <t>SVL-702</t>
  </si>
  <si>
    <t>SVL-459</t>
  </si>
  <si>
    <t>PSW-48-800W</t>
  </si>
  <si>
    <t>SVL-576</t>
  </si>
  <si>
    <t>ECP-F-1Y</t>
  </si>
  <si>
    <t>ECP-F-2Y</t>
  </si>
  <si>
    <t>ECP-F-4Y</t>
  </si>
  <si>
    <t>SVL-SFC-RLY-1Y</t>
  </si>
  <si>
    <t>SFC-RLY</t>
  </si>
  <si>
    <t>SVL-SFC-RLY-2Y</t>
  </si>
  <si>
    <t>SFC-RLY-LC-05</t>
  </si>
  <si>
    <t>SpeedFusion Relay License (5-peer)</t>
  </si>
  <si>
    <t>SFC-RLY-LC-10</t>
  </si>
  <si>
    <t>SpeedFusion Relay License (10-peer)</t>
  </si>
  <si>
    <t>SFC-RLY-LC-20</t>
  </si>
  <si>
    <t>SpeedFusion Relay License (20-peer)</t>
  </si>
  <si>
    <t>SFC-RLY-LC-50</t>
  </si>
  <si>
    <t>SpeedFusion Relay License (50-peer)</t>
  </si>
  <si>
    <t>ECP-MAS-GN2-1Y</t>
  </si>
  <si>
    <t>MAS-GN2-R</t>
  </si>
  <si>
    <t>ECP-MAS-GN2-2Y</t>
  </si>
  <si>
    <t>ECP-MAS-GN2-4Y</t>
  </si>
  <si>
    <t>SVL-717</t>
  </si>
  <si>
    <t>SVL-640</t>
  </si>
  <si>
    <t>FIPS-LC-M700</t>
  </si>
  <si>
    <t>SVL-445</t>
  </si>
  <si>
    <t>MAX-HD2-M-LTEA-W-IP67</t>
  </si>
  <si>
    <t>SVL-544</t>
  </si>
  <si>
    <t>ECP-MAX-HD2-LTEA-WP-IP67-1Y</t>
  </si>
  <si>
    <t>ECP-MAX-HD2-LTEA-WP-IP67-2Y</t>
  </si>
  <si>
    <t>ECP-MAX-HD2-LTEA-WP-IP67-4Y</t>
  </si>
  <si>
    <t>SVL-746</t>
  </si>
  <si>
    <t>APP-AGN</t>
  </si>
  <si>
    <t>SVL-624</t>
  </si>
  <si>
    <t>SVL-747</t>
  </si>
  <si>
    <t>APP-AGN2</t>
  </si>
  <si>
    <t>SVL-625</t>
  </si>
  <si>
    <t>SVL-750</t>
  </si>
  <si>
    <t>DCS-GN-IP55</t>
  </si>
  <si>
    <t>SVL-628</t>
  </si>
  <si>
    <t>DCS-GN-IP56</t>
  </si>
  <si>
    <t>DCS-GN-IP57</t>
  </si>
  <si>
    <t>DCS-GN-IP58</t>
  </si>
  <si>
    <t>DCS-GN-IP59</t>
  </si>
  <si>
    <t>MAX-BR1-PRO-5GD-T-PRM</t>
  </si>
  <si>
    <t>ICS-V04-1Y</t>
  </si>
  <si>
    <t>BPL-TWO</t>
  </si>
  <si>
    <t>ICS-V04-2Y</t>
  </si>
  <si>
    <t>SVL-333</t>
  </si>
  <si>
    <t>SVL-537</t>
  </si>
  <si>
    <t>20 PepVPN License Key</t>
  </si>
  <si>
    <t>BPL-TWO-LC-SF</t>
  </si>
  <si>
    <t>SpeedFusion Bonding license</t>
  </si>
  <si>
    <t>SVL-471</t>
  </si>
  <si>
    <t>MAX-HD2-DOM-M-LTEA-WF</t>
  </si>
  <si>
    <t>SVL-575</t>
  </si>
  <si>
    <t>ECP-MAX-HD2-DOM-LTEA-1Y</t>
  </si>
  <si>
    <t>ECP-MAX-HD2-DOM-LTEA-2Y</t>
  </si>
  <si>
    <t>ECP-MAX-HD2-DOM-LTEA-4Y</t>
  </si>
  <si>
    <t>Activate Virtual WAN</t>
  </si>
  <si>
    <t>MAX-HD2-DOM-M-LTEA-W</t>
  </si>
  <si>
    <t>MAX-HD2-M-LTEA-WF-IP67</t>
  </si>
  <si>
    <t>ECP-MAX-HD2-M-LTEA-RK-IP67-1Y</t>
  </si>
  <si>
    <t>ECP-MAX-HD2-M-LTEA-RK-IP67-2Y</t>
  </si>
  <si>
    <t>ECP-MAX-HD2-M-LTEA-RK-IP67-4Y</t>
  </si>
  <si>
    <t>MAX-BR1-MINI-LTE-US-DC-T-PRM</t>
  </si>
  <si>
    <t>Feature Pack</t>
  </si>
  <si>
    <t>MAX-ADP-5GH-T</t>
  </si>
  <si>
    <t>SVL-MAX-ADP-5G-1Y</t>
  </si>
  <si>
    <t>SVL-MAX-ADP-5G-2Y</t>
  </si>
  <si>
    <t>EXM-MINI-1LTEA-W</t>
  </si>
  <si>
    <t>EXM-3LTEA-R</t>
  </si>
  <si>
    <t>FIPS-LC-B305</t>
  </si>
  <si>
    <t>BPL-305</t>
  </si>
  <si>
    <t>BPL-305-SPF</t>
  </si>
  <si>
    <t>ECP-BPL-305-1Y</t>
  </si>
  <si>
    <t>ECP-BPL-305-2Y</t>
  </si>
  <si>
    <t>ECP-BPL-305-4Y</t>
  </si>
  <si>
    <t>SVL-732</t>
  </si>
  <si>
    <t>SVL-607</t>
  </si>
  <si>
    <t>FIPS-LC-B380</t>
  </si>
  <si>
    <t>BPL-380</t>
  </si>
  <si>
    <t>ECP-BPL-380-1Y</t>
  </si>
  <si>
    <t>ECP-BPL-380-2Y</t>
  </si>
  <si>
    <t>ECP-BPL-380-4Y</t>
  </si>
  <si>
    <t>SVL-703</t>
  </si>
  <si>
    <t>SVL-608</t>
  </si>
  <si>
    <t>BPL-380X</t>
  </si>
  <si>
    <t>ECP-BPL-380X-1Y</t>
  </si>
  <si>
    <t>ECP-BPL-380X-2Y</t>
  </si>
  <si>
    <t>ECP-BPL-380X-4Y</t>
  </si>
  <si>
    <t>SVL-BPL-380X-1Y</t>
  </si>
  <si>
    <t>SVL-BPL-380X-2Y</t>
  </si>
  <si>
    <t>SVL-458</t>
  </si>
  <si>
    <t>PSW-8-240W-RUG</t>
  </si>
  <si>
    <t>SVL-573</t>
  </si>
  <si>
    <t>SVL-501</t>
  </si>
  <si>
    <t>PSW-16-240W-RUG</t>
  </si>
  <si>
    <t>SVL-701</t>
  </si>
  <si>
    <t>FIPS-LC-B710</t>
  </si>
  <si>
    <t>BPL-710</t>
  </si>
  <si>
    <t>ECP-BPL-710-1Y</t>
  </si>
  <si>
    <t>ECP-BPL-710-2Y</t>
  </si>
  <si>
    <t>ECP-BPL-710-4Y</t>
  </si>
  <si>
    <t>SVL-704</t>
  </si>
  <si>
    <t>SVL-610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</si>
</sst>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.00_);[Red]\(&quot;$&quot;#,##0.00\)"/>
    <numFmt numFmtId="166" formatCode="&quot;$&quot;#,##0_);[Red]\(&quot;$&quot;#,##0\)"/>
    <numFmt numFmtId="167" formatCode="_(&quot;$&quot;* #,##0.00_);_(&quot;$&quot;* \(#,##0.00\);_(&quot;$&quot;* &quot;-&quot;??_);_(@_)"/>
  </numFmts>
  <fonts count="15">
    <font>
      <sz val="11.0"/>
      <color theme="1"/>
      <name val="Calibri"/>
      <scheme val="minor"/>
    </font>
    <font>
      <b/>
      <sz val="12.0"/>
      <color theme="0"/>
      <name val="Calibri"/>
    </font>
    <font>
      <b/>
      <sz val="14.0"/>
      <color theme="0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0.0"/>
      <color rgb="FFFF0000"/>
      <name val="Calibri"/>
    </font>
    <font>
      <sz val="12.0"/>
      <color theme="1"/>
      <name val="Calibri"/>
    </font>
    <font/>
    <font>
      <b/>
      <sz val="16.0"/>
      <color theme="0"/>
      <name val="Calibri"/>
    </font>
    <font>
      <color theme="1"/>
      <name val="Calibri"/>
      <scheme val="minor"/>
    </font>
    <font>
      <sz val="11.0"/>
      <color rgb="FF000000"/>
      <name val="Calibri"/>
    </font>
    <font>
      <u/>
      <sz val="11.0"/>
      <color theme="10"/>
      <name val="Calibri"/>
    </font>
    <font>
      <b/>
      <sz val="10.0"/>
      <color theme="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1E4E79"/>
        <bgColor rgb="FF1E4E79"/>
      </patternFill>
    </fill>
    <fill>
      <patternFill patternType="solid">
        <fgColor rgb="FF7030A0"/>
        <bgColor rgb="FF7030A0"/>
      </patternFill>
    </fill>
    <fill>
      <patternFill patternType="solid">
        <fgColor rgb="FF256530"/>
        <bgColor rgb="FF256530"/>
      </patternFill>
    </fill>
    <fill>
      <patternFill patternType="solid">
        <fgColor rgb="FF7F6000"/>
        <bgColor rgb="FF7F6000"/>
      </patternFill>
    </fill>
    <fill>
      <patternFill patternType="solid">
        <fgColor rgb="FF833C0B"/>
        <bgColor rgb="FF833C0B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23">
    <border/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horizontal="left"/>
    </xf>
    <xf borderId="3" fillId="3" fontId="2" numFmtId="0" xfId="0" applyAlignment="1" applyBorder="1" applyFill="1" applyFont="1">
      <alignment vertical="center"/>
    </xf>
    <xf borderId="4" fillId="3" fontId="2" numFmtId="0" xfId="0" applyAlignment="1" applyBorder="1" applyFont="1">
      <alignment vertical="center"/>
    </xf>
    <xf borderId="4" fillId="3" fontId="2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4" xfId="0" applyAlignment="1" applyBorder="1" applyFont="1" applyNumberFormat="1">
      <alignment horizontal="left" shrinkToFit="0" vertical="center" wrapText="1"/>
    </xf>
    <xf borderId="5" fillId="0" fontId="3" numFmtId="164" xfId="0" applyAlignment="1" applyBorder="1" applyFont="1" applyNumberFormat="1">
      <alignment horizontal="left" vertical="center"/>
    </xf>
    <xf borderId="0" fillId="0" fontId="3" numFmtId="0" xfId="0" applyFont="1"/>
    <xf borderId="5" fillId="0" fontId="3" numFmtId="0" xfId="0" applyBorder="1" applyFont="1"/>
    <xf borderId="5" fillId="0" fontId="3" numFmtId="165" xfId="0" applyAlignment="1" applyBorder="1" applyFont="1" applyNumberForma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5" fillId="0" fontId="4" numFmtId="0" xfId="0" applyBorder="1" applyFont="1"/>
    <xf borderId="6" fillId="0" fontId="3" numFmtId="0" xfId="0" applyBorder="1" applyFont="1"/>
    <xf borderId="7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166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2" fillId="3" fontId="2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2" fillId="3" fontId="5" numFmtId="0" xfId="0" applyAlignment="1" applyBorder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10" fillId="0" fontId="3" numFmtId="164" xfId="0" applyAlignment="1" applyBorder="1" applyFont="1" applyNumberFormat="1">
      <alignment horizontal="left" shrinkToFit="0" vertical="center" wrapText="1"/>
    </xf>
    <xf borderId="10" fillId="0" fontId="3" numFmtId="16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3" numFmtId="164" xfId="0" applyAlignment="1" applyFont="1" applyNumberFormat="1">
      <alignment horizontal="left" vertical="center"/>
    </xf>
    <xf borderId="11" fillId="0" fontId="3" numFmtId="0" xfId="0" applyBorder="1" applyFont="1"/>
    <xf borderId="12" fillId="0" fontId="3" numFmtId="0" xfId="0" applyBorder="1" applyFont="1"/>
    <xf borderId="0" fillId="0" fontId="6" numFmtId="0" xfId="0" applyAlignment="1" applyFont="1">
      <alignment horizontal="left"/>
    </xf>
    <xf borderId="0" fillId="0" fontId="6" numFmtId="0" xfId="0" applyFont="1"/>
    <xf borderId="5" fillId="0" fontId="3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5" fillId="0" fontId="3" numFmtId="165" xfId="0" applyAlignment="1" applyBorder="1" applyFont="1" applyNumberFormat="1">
      <alignment horizontal="left"/>
    </xf>
    <xf borderId="0" fillId="0" fontId="7" numFmtId="164" xfId="0" applyAlignment="1" applyFont="1" applyNumberForma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3" numFmtId="164" xfId="0" applyAlignment="1" applyBorder="1" applyFont="1" applyNumberFormat="1">
      <alignment horizontal="left" shrinkToFit="0" vertical="top" wrapText="1"/>
    </xf>
    <xf borderId="5" fillId="0" fontId="3" numFmtId="164" xfId="0" applyAlignment="1" applyBorder="1" applyFont="1" applyNumberFormat="1">
      <alignment horizontal="left" vertical="top"/>
    </xf>
    <xf borderId="11" fillId="0" fontId="3" numFmtId="0" xfId="0" applyAlignment="1" applyBorder="1" applyFont="1">
      <alignment horizontal="left" shrinkToFit="0" vertical="center" wrapText="1"/>
    </xf>
    <xf borderId="11" fillId="0" fontId="3" numFmtId="164" xfId="0" applyAlignment="1" applyBorder="1" applyFont="1" applyNumberFormat="1">
      <alignment horizontal="left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3" fillId="0" fontId="3" numFmtId="164" xfId="0" applyAlignment="1" applyBorder="1" applyFont="1" applyNumberFormat="1">
      <alignment horizontal="left" shrinkToFit="0" vertical="center" wrapText="1"/>
    </xf>
    <xf borderId="13" fillId="0" fontId="3" numFmtId="164" xfId="0" applyAlignment="1" applyBorder="1" applyFont="1" applyNumberFormat="1">
      <alignment horizontal="left" vertical="center"/>
    </xf>
    <xf borderId="14" fillId="0" fontId="3" numFmtId="164" xfId="0" applyAlignment="1" applyBorder="1" applyFont="1" applyNumberFormat="1">
      <alignment horizontal="left" vertical="center"/>
    </xf>
    <xf borderId="0" fillId="0" fontId="8" numFmtId="0" xfId="0" applyFont="1"/>
    <xf borderId="1" fillId="4" fontId="2" numFmtId="0" xfId="0" applyAlignment="1" applyBorder="1" applyFill="1" applyFont="1">
      <alignment vertical="center"/>
    </xf>
    <xf borderId="2" fillId="4" fontId="2" numFmtId="0" xfId="0" applyAlignment="1" applyBorder="1" applyFont="1">
      <alignment vertical="center"/>
    </xf>
    <xf borderId="2" fillId="4" fontId="2" numFmtId="0" xfId="0" applyAlignment="1" applyBorder="1" applyFont="1">
      <alignment horizontal="left" vertical="center"/>
    </xf>
    <xf borderId="1" fillId="5" fontId="2" numFmtId="0" xfId="0" applyAlignment="1" applyBorder="1" applyFill="1" applyFont="1">
      <alignment vertical="center"/>
    </xf>
    <xf borderId="2" fillId="5" fontId="2" numFmtId="0" xfId="0" applyAlignment="1" applyBorder="1" applyFont="1">
      <alignment vertical="center"/>
    </xf>
    <xf borderId="2" fillId="5" fontId="2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center"/>
    </xf>
    <xf borderId="1" fillId="6" fontId="2" numFmtId="0" xfId="0" applyAlignment="1" applyBorder="1" applyFill="1" applyFont="1">
      <alignment vertical="center"/>
    </xf>
    <xf borderId="2" fillId="6" fontId="2" numFmtId="0" xfId="0" applyAlignment="1" applyBorder="1" applyFont="1">
      <alignment vertical="center"/>
    </xf>
    <xf borderId="2" fillId="6" fontId="2" numFmtId="0" xfId="0" applyAlignment="1" applyBorder="1" applyFont="1">
      <alignment horizontal="left" vertical="center"/>
    </xf>
    <xf borderId="5" fillId="6" fontId="3" numFmtId="0" xfId="0" applyBorder="1" applyFont="1"/>
    <xf borderId="1" fillId="7" fontId="2" numFmtId="0" xfId="0" applyAlignment="1" applyBorder="1" applyFill="1" applyFont="1">
      <alignment vertical="center"/>
    </xf>
    <xf borderId="2" fillId="7" fontId="2" numFmtId="0" xfId="0" applyAlignment="1" applyBorder="1" applyFont="1">
      <alignment vertical="center"/>
    </xf>
    <xf borderId="2" fillId="7" fontId="2" numFmtId="0" xfId="0" applyAlignment="1" applyBorder="1" applyFont="1">
      <alignment horizontal="left" vertical="center"/>
    </xf>
    <xf borderId="5" fillId="8" fontId="4" numFmtId="0" xfId="0" applyAlignment="1" applyBorder="1" applyFill="1" applyFont="1">
      <alignment horizontal="left" shrinkToFit="0" vertical="center" wrapText="1"/>
    </xf>
    <xf borderId="5" fillId="8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vertical="top"/>
    </xf>
    <xf borderId="11" fillId="0" fontId="3" numFmtId="0" xfId="0" applyAlignment="1" applyBorder="1" applyFont="1">
      <alignment horizontal="left" shrinkToFit="0" vertical="top" wrapText="1"/>
    </xf>
    <xf borderId="11" fillId="0" fontId="4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vertical="top"/>
    </xf>
    <xf borderId="11" fillId="0" fontId="4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vertical="center"/>
    </xf>
    <xf borderId="8" fillId="0" fontId="3" numFmtId="164" xfId="0" applyAlignment="1" applyBorder="1" applyFont="1" applyNumberFormat="1">
      <alignment horizontal="left" shrinkToFit="0" vertical="center" wrapText="1"/>
    </xf>
    <xf borderId="6" fillId="0" fontId="9" numFmtId="0" xfId="0" applyBorder="1" applyFont="1"/>
    <xf borderId="5" fillId="2" fontId="1" numFmtId="0" xfId="0" applyBorder="1" applyFont="1"/>
    <xf borderId="8" fillId="2" fontId="1" numFmtId="0" xfId="0" applyAlignment="1" applyBorder="1" applyFont="1">
      <alignment horizontal="left"/>
    </xf>
    <xf borderId="8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vertical="center"/>
    </xf>
    <xf borderId="15" fillId="3" fontId="2" numFmtId="0" xfId="0" applyAlignment="1" applyBorder="1" applyFont="1">
      <alignment vertical="center"/>
    </xf>
    <xf borderId="16" fillId="0" fontId="9" numFmtId="0" xfId="0" applyBorder="1" applyFont="1"/>
    <xf borderId="17" fillId="0" fontId="9" numFmtId="0" xfId="0" applyBorder="1" applyFont="1"/>
    <xf borderId="18" fillId="3" fontId="2" numFmtId="0" xfId="0" applyAlignment="1" applyBorder="1" applyFont="1">
      <alignment vertical="center"/>
    </xf>
    <xf borderId="19" fillId="0" fontId="9" numFmtId="0" xfId="0" applyBorder="1" applyFont="1"/>
    <xf borderId="20" fillId="0" fontId="9" numFmtId="0" xfId="0" applyBorder="1" applyFont="1"/>
    <xf borderId="13" fillId="0" fontId="9" numFmtId="0" xfId="0" applyBorder="1" applyFont="1"/>
    <xf borderId="8" fillId="9" fontId="6" numFmtId="0" xfId="0" applyBorder="1" applyFill="1" applyFont="1"/>
    <xf borderId="8" fillId="9" fontId="6" numFmtId="0" xfId="0" applyAlignment="1" applyBorder="1" applyFont="1">
      <alignment horizontal="left"/>
    </xf>
    <xf borderId="8" fillId="9" fontId="6" numFmtId="0" xfId="0" applyAlignment="1" applyBorder="1" applyFont="1">
      <alignment shrinkToFit="0" wrapText="1"/>
    </xf>
    <xf borderId="8" fillId="9" fontId="6" numFmtId="0" xfId="0" applyAlignment="1" applyBorder="1" applyFont="1">
      <alignment horizontal="left" shrinkToFit="0" wrapText="1"/>
    </xf>
    <xf borderId="21" fillId="3" fontId="10" numFmtId="0" xfId="0" applyAlignment="1" applyBorder="1" applyFont="1">
      <alignment horizontal="left"/>
    </xf>
    <xf borderId="0" fillId="0" fontId="11" numFmtId="0" xfId="0" applyFont="1"/>
    <xf borderId="0" fillId="0" fontId="6" numFmtId="165" xfId="0" applyAlignment="1" applyFont="1" applyNumberFormat="1">
      <alignment horizontal="left"/>
    </xf>
    <xf borderId="21" fillId="10" fontId="1" numFmtId="0" xfId="0" applyAlignment="1" applyBorder="1" applyFill="1" applyFont="1">
      <alignment horizontal="left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1"/>
    </xf>
    <xf borderId="0" fillId="0" fontId="6" numFmtId="165" xfId="0" applyAlignment="1" applyFont="1" applyNumberFormat="1">
      <alignment horizontal="left" vertical="top"/>
    </xf>
    <xf borderId="0" fillId="0" fontId="6" numFmtId="0" xfId="0" applyAlignment="1" applyFont="1">
      <alignment shrinkToFit="0" wrapText="1"/>
    </xf>
    <xf borderId="0" fillId="0" fontId="12" numFmtId="0" xfId="0" applyFont="1"/>
    <xf borderId="21" fillId="2" fontId="1" numFmtId="0" xfId="0" applyAlignment="1" applyBorder="1" applyFont="1">
      <alignment horizontal="center"/>
    </xf>
    <xf borderId="0" fillId="0" fontId="13" numFmtId="0" xfId="0" applyFont="1"/>
    <xf borderId="3" fillId="3" fontId="14" numFmtId="0" xfId="0" applyAlignment="1" applyBorder="1" applyFont="1">
      <alignment vertical="center"/>
    </xf>
    <xf borderId="4" fillId="3" fontId="14" numFmtId="0" xfId="0" applyAlignment="1" applyBorder="1" applyFont="1">
      <alignment vertical="center"/>
    </xf>
    <xf borderId="4" fillId="3" fontId="14" numFmtId="167" xfId="0" applyAlignment="1" applyBorder="1" applyFont="1" applyNumberFormat="1">
      <alignment horizontal="center" vertical="top"/>
    </xf>
    <xf borderId="22" fillId="0" fontId="2" numFmtId="0" xfId="0" applyAlignment="1" applyBorder="1" applyFont="1">
      <alignment horizontal="left" vertical="center"/>
    </xf>
    <xf borderId="22" fillId="0" fontId="2" numFmtId="0" xfId="0" applyAlignment="1" applyBorder="1" applyFont="1">
      <alignment vertical="center"/>
    </xf>
    <xf borderId="1" fillId="2" fontId="14" numFmtId="0" xfId="0" applyBorder="1" applyFont="1"/>
    <xf borderId="2" fillId="2" fontId="14" numFmtId="0" xfId="0" applyBorder="1" applyFont="1"/>
    <xf borderId="2" fillId="2" fontId="14" numFmtId="167" xfId="0" applyAlignment="1" applyBorder="1" applyFont="1" applyNumberFormat="1">
      <alignment horizontal="center" vertical="top"/>
    </xf>
    <xf borderId="5" fillId="0" fontId="3" numFmtId="167" xfId="0" applyAlignment="1" applyBorder="1" applyFont="1" applyNumberFormat="1">
      <alignment horizontal="center" shrinkToFit="0" vertical="top" wrapText="1"/>
    </xf>
    <xf borderId="5" fillId="0" fontId="3" numFmtId="167" xfId="0" applyAlignment="1" applyBorder="1" applyFont="1" applyNumberFormat="1">
      <alignment horizontal="center" vertical="top"/>
    </xf>
    <xf borderId="5" fillId="0" fontId="3" numFmtId="167" xfId="0" applyAlignment="1" applyBorder="1" applyFont="1" applyNumberFormat="1">
      <alignment horizontal="left" vertical="center"/>
    </xf>
    <xf borderId="5" fillId="0" fontId="3" numFmtId="167" xfId="0" applyBorder="1" applyFont="1" applyNumberFormat="1"/>
    <xf borderId="5" fillId="0" fontId="3" numFmtId="167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left"/>
    </xf>
    <xf borderId="14" fillId="0" fontId="3" numFmtId="0" xfId="0" applyAlignment="1" applyBorder="1" applyFont="1">
      <alignment horizontal="left" shrinkToFit="0" vertical="center" wrapText="1"/>
    </xf>
    <xf borderId="0" fillId="0" fontId="6" numFmtId="167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32.86"/>
    <col customWidth="1" min="2" max="2" width="39.29"/>
    <col customWidth="1" min="3" max="3" width="68.0"/>
    <col customWidth="1" min="4" max="4" width="21.29"/>
    <col customWidth="1" min="5" max="5" width="21.57"/>
    <col customWidth="1" min="6" max="6" width="22.0"/>
    <col customWidth="1" min="7" max="7" width="0.43"/>
    <col customWidth="1" min="8" max="26" width="8.71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</row>
    <row r="2" ht="15.75" customHeight="1">
      <c r="A2" s="4" t="s">
        <v>5</v>
      </c>
      <c r="B2" s="5" t="s">
        <v>6</v>
      </c>
      <c r="C2" s="5"/>
      <c r="D2" s="5"/>
      <c r="E2" s="6"/>
      <c r="F2" s="5"/>
    </row>
    <row r="3" ht="15.75" customHeight="1">
      <c r="A3" s="7" t="s">
        <v>7</v>
      </c>
      <c r="B3" s="8" t="s">
        <v>8</v>
      </c>
      <c r="C3" s="9" t="s">
        <v>9</v>
      </c>
      <c r="D3" s="10">
        <v>999.0</v>
      </c>
      <c r="E3" s="11">
        <f t="shared" ref="E3:E17" si="1">SUM(D3*0.8)</f>
        <v>799.2</v>
      </c>
      <c r="F3" s="11">
        <f>SUM(D3*0.7)</f>
        <v>699.3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hidden="1" customHeight="1" outlineLevel="1">
      <c r="A4" s="13" t="s">
        <v>10</v>
      </c>
      <c r="B4" s="13" t="s">
        <v>11</v>
      </c>
      <c r="C4" s="13" t="s">
        <v>12</v>
      </c>
      <c r="D4" s="10">
        <v>149.0</v>
      </c>
      <c r="E4" s="11">
        <f t="shared" si="1"/>
        <v>119.2</v>
      </c>
      <c r="F4" s="7" t="s">
        <v>13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hidden="1" customHeight="1" outlineLevel="1">
      <c r="A5" s="13" t="s">
        <v>14</v>
      </c>
      <c r="B5" s="13" t="s">
        <v>15</v>
      </c>
      <c r="C5" s="13" t="s">
        <v>12</v>
      </c>
      <c r="D5" s="10">
        <v>298.0</v>
      </c>
      <c r="E5" s="11">
        <f t="shared" si="1"/>
        <v>238.4</v>
      </c>
      <c r="F5" s="7" t="s">
        <v>13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hidden="1" customHeight="1" outlineLevel="1">
      <c r="A6" s="13" t="s">
        <v>16</v>
      </c>
      <c r="B6" s="13" t="s">
        <v>17</v>
      </c>
      <c r="C6" s="13" t="s">
        <v>12</v>
      </c>
      <c r="D6" s="10">
        <v>596.0</v>
      </c>
      <c r="E6" s="11">
        <f t="shared" si="1"/>
        <v>476.8</v>
      </c>
      <c r="F6" s="7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hidden="1" customHeight="1" outlineLevel="1">
      <c r="A7" s="13" t="s">
        <v>18</v>
      </c>
      <c r="B7" s="13" t="s">
        <v>19</v>
      </c>
      <c r="C7" s="13" t="s">
        <v>20</v>
      </c>
      <c r="D7" s="10">
        <v>179.0</v>
      </c>
      <c r="E7" s="11">
        <f t="shared" si="1"/>
        <v>143.2</v>
      </c>
      <c r="F7" s="7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hidden="1" customHeight="1" outlineLevel="1">
      <c r="A8" s="13" t="s">
        <v>21</v>
      </c>
      <c r="B8" s="13" t="s">
        <v>22</v>
      </c>
      <c r="C8" s="13" t="s">
        <v>20</v>
      </c>
      <c r="D8" s="10">
        <v>304.0</v>
      </c>
      <c r="E8" s="11">
        <f t="shared" si="1"/>
        <v>243.2</v>
      </c>
      <c r="F8" s="7" t="s">
        <v>13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hidden="1" customHeight="1" outlineLevel="1">
      <c r="A9" s="13" t="s">
        <v>23</v>
      </c>
      <c r="B9" s="13" t="s">
        <v>24</v>
      </c>
      <c r="C9" s="13" t="s">
        <v>20</v>
      </c>
      <c r="D9" s="10">
        <v>501.0</v>
      </c>
      <c r="E9" s="11">
        <f t="shared" si="1"/>
        <v>400.8</v>
      </c>
      <c r="F9" s="7" t="s">
        <v>13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hidden="1" customHeight="1" outlineLevel="1">
      <c r="A10" s="13" t="s">
        <v>25</v>
      </c>
      <c r="B10" s="13" t="s">
        <v>26</v>
      </c>
      <c r="C10" s="13" t="s">
        <v>27</v>
      </c>
      <c r="D10" s="14">
        <v>20.0</v>
      </c>
      <c r="E10" s="11">
        <f t="shared" si="1"/>
        <v>16</v>
      </c>
      <c r="F10" s="7" t="s">
        <v>13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hidden="1" customHeight="1" outlineLevel="1">
      <c r="A11" s="13" t="s">
        <v>28</v>
      </c>
      <c r="B11" s="13" t="s">
        <v>29</v>
      </c>
      <c r="C11" s="13" t="s">
        <v>30</v>
      </c>
      <c r="D11" s="14">
        <v>40.0</v>
      </c>
      <c r="E11" s="11">
        <f t="shared" si="1"/>
        <v>32</v>
      </c>
      <c r="F11" s="7" t="s">
        <v>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hidden="1" customHeight="1" outlineLevel="1">
      <c r="A12" s="13" t="s">
        <v>31</v>
      </c>
      <c r="B12" s="13" t="s">
        <v>32</v>
      </c>
      <c r="C12" s="13" t="s">
        <v>30</v>
      </c>
      <c r="D12" s="14">
        <v>60.0</v>
      </c>
      <c r="E12" s="11">
        <f t="shared" si="1"/>
        <v>48</v>
      </c>
      <c r="F12" s="7" t="s">
        <v>13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hidden="1" customHeight="1" outlineLevel="1">
      <c r="A13" s="9" t="s">
        <v>33</v>
      </c>
      <c r="B13" s="9" t="s">
        <v>34</v>
      </c>
      <c r="C13" s="13" t="s">
        <v>35</v>
      </c>
      <c r="D13" s="10">
        <v>200.0</v>
      </c>
      <c r="E13" s="11">
        <f t="shared" si="1"/>
        <v>160</v>
      </c>
      <c r="F13" s="7" t="s">
        <v>13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hidden="1" customHeight="1" outlineLevel="1">
      <c r="A14" s="13" t="s">
        <v>36</v>
      </c>
      <c r="B14" s="13" t="s">
        <v>34</v>
      </c>
      <c r="C14" s="13" t="s">
        <v>37</v>
      </c>
      <c r="D14" s="10">
        <v>400.0</v>
      </c>
      <c r="E14" s="11">
        <f t="shared" si="1"/>
        <v>320</v>
      </c>
      <c r="F14" s="7" t="s">
        <v>13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hidden="1" customHeight="1" outlineLevel="1">
      <c r="A15" s="13" t="s">
        <v>38</v>
      </c>
      <c r="B15" s="13" t="s">
        <v>34</v>
      </c>
      <c r="C15" s="13" t="s">
        <v>39</v>
      </c>
      <c r="D15" s="10">
        <v>600.0</v>
      </c>
      <c r="E15" s="11">
        <f t="shared" si="1"/>
        <v>480</v>
      </c>
      <c r="F15" s="7" t="s">
        <v>13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hidden="1" customHeight="1" outlineLevel="1">
      <c r="A16" s="7" t="s">
        <v>40</v>
      </c>
      <c r="B16" s="7" t="s">
        <v>41</v>
      </c>
      <c r="C16" s="7" t="s">
        <v>42</v>
      </c>
      <c r="D16" s="10">
        <v>999.0</v>
      </c>
      <c r="E16" s="11">
        <f t="shared" si="1"/>
        <v>799.2</v>
      </c>
      <c r="F16" s="7" t="s">
        <v>13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hidden="1" customHeight="1" outlineLevel="1">
      <c r="A17" s="13" t="s">
        <v>43</v>
      </c>
      <c r="B17" s="7" t="s">
        <v>41</v>
      </c>
      <c r="C17" s="13" t="s">
        <v>42</v>
      </c>
      <c r="D17" s="10">
        <v>1499.0</v>
      </c>
      <c r="E17" s="11">
        <f t="shared" si="1"/>
        <v>1199.2</v>
      </c>
      <c r="F17" s="7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 collapsed="1">
      <c r="A18" s="15" t="s">
        <v>44</v>
      </c>
      <c r="B18" s="8"/>
      <c r="C18" s="9"/>
      <c r="D18" s="10"/>
      <c r="E18" s="11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7" t="s">
        <v>45</v>
      </c>
      <c r="B19" s="8" t="s">
        <v>46</v>
      </c>
      <c r="C19" s="9" t="s">
        <v>47</v>
      </c>
      <c r="D19" s="10">
        <v>1999.0</v>
      </c>
      <c r="E19" s="11">
        <f t="shared" ref="E19:E20" si="2">SUM(D19*0.8)</f>
        <v>1599.2</v>
      </c>
      <c r="F19" s="11">
        <f t="shared" ref="F19:F20" si="3">SUM(D19*0.7)</f>
        <v>1399.3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7" t="s">
        <v>48</v>
      </c>
      <c r="B20" s="8" t="s">
        <v>49</v>
      </c>
      <c r="C20" s="9" t="s">
        <v>47</v>
      </c>
      <c r="D20" s="10">
        <v>1999.0</v>
      </c>
      <c r="E20" s="11">
        <f t="shared" si="2"/>
        <v>1599.2</v>
      </c>
      <c r="F20" s="11">
        <f t="shared" si="3"/>
        <v>1399.3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hidden="1" customHeight="1" outlineLevel="1">
      <c r="A21" s="13" t="s">
        <v>50</v>
      </c>
      <c r="B21" s="13" t="s">
        <v>11</v>
      </c>
      <c r="C21" s="13" t="s">
        <v>51</v>
      </c>
      <c r="D21" s="14">
        <v>249.0</v>
      </c>
      <c r="E21" s="14">
        <f t="shared" ref="E21:E29" si="4">D21*0.8</f>
        <v>199.2</v>
      </c>
      <c r="F21" s="7" t="s">
        <v>13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hidden="1" customHeight="1" outlineLevel="1">
      <c r="A22" s="13" t="s">
        <v>52</v>
      </c>
      <c r="B22" s="13" t="s">
        <v>15</v>
      </c>
      <c r="C22" s="13" t="s">
        <v>51</v>
      </c>
      <c r="D22" s="14">
        <v>498.0</v>
      </c>
      <c r="E22" s="14">
        <f t="shared" si="4"/>
        <v>398.4</v>
      </c>
      <c r="F22" s="7" t="s">
        <v>13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hidden="1" customHeight="1" outlineLevel="1">
      <c r="A23" s="13" t="s">
        <v>53</v>
      </c>
      <c r="B23" s="13" t="s">
        <v>17</v>
      </c>
      <c r="C23" s="13" t="s">
        <v>51</v>
      </c>
      <c r="D23" s="14">
        <v>996.0</v>
      </c>
      <c r="E23" s="14">
        <f t="shared" si="4"/>
        <v>796.8</v>
      </c>
      <c r="F23" s="7" t="s">
        <v>13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hidden="1" customHeight="1" outlineLevel="1">
      <c r="A24" s="13" t="s">
        <v>54</v>
      </c>
      <c r="B24" s="13" t="s">
        <v>19</v>
      </c>
      <c r="C24" s="13" t="s">
        <v>55</v>
      </c>
      <c r="D24" s="14">
        <v>299.0</v>
      </c>
      <c r="E24" s="14">
        <f t="shared" si="4"/>
        <v>239.2</v>
      </c>
      <c r="F24" s="7" t="s">
        <v>13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hidden="1" customHeight="1" outlineLevel="1">
      <c r="A25" s="13" t="s">
        <v>56</v>
      </c>
      <c r="B25" s="13" t="s">
        <v>22</v>
      </c>
      <c r="C25" s="13" t="s">
        <v>55</v>
      </c>
      <c r="D25" s="14">
        <v>508.0</v>
      </c>
      <c r="E25" s="14">
        <f t="shared" si="4"/>
        <v>406.4</v>
      </c>
      <c r="F25" s="7" t="s">
        <v>13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hidden="1" customHeight="1" outlineLevel="1">
      <c r="A26" s="13" t="s">
        <v>57</v>
      </c>
      <c r="B26" s="13" t="s">
        <v>24</v>
      </c>
      <c r="C26" s="13" t="s">
        <v>55</v>
      </c>
      <c r="D26" s="14">
        <v>837.0</v>
      </c>
      <c r="E26" s="14">
        <f t="shared" si="4"/>
        <v>669.6</v>
      </c>
      <c r="F26" s="7" t="s">
        <v>13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hidden="1" customHeight="1" outlineLevel="1">
      <c r="A27" s="13" t="s">
        <v>25</v>
      </c>
      <c r="B27" s="13" t="s">
        <v>26</v>
      </c>
      <c r="C27" s="13" t="s">
        <v>27</v>
      </c>
      <c r="D27" s="14">
        <v>20.0</v>
      </c>
      <c r="E27" s="14">
        <f t="shared" si="4"/>
        <v>16</v>
      </c>
      <c r="F27" s="7" t="s">
        <v>13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hidden="1" customHeight="1" outlineLevel="1">
      <c r="A28" s="13" t="s">
        <v>28</v>
      </c>
      <c r="B28" s="13" t="s">
        <v>29</v>
      </c>
      <c r="C28" s="13" t="s">
        <v>30</v>
      </c>
      <c r="D28" s="14">
        <v>40.0</v>
      </c>
      <c r="E28" s="14">
        <f t="shared" si="4"/>
        <v>32</v>
      </c>
      <c r="F28" s="7" t="s">
        <v>13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hidden="1" customHeight="1" outlineLevel="1">
      <c r="A29" s="13" t="s">
        <v>31</v>
      </c>
      <c r="B29" s="13" t="s">
        <v>32</v>
      </c>
      <c r="C29" s="13" t="s">
        <v>30</v>
      </c>
      <c r="D29" s="14">
        <v>60.0</v>
      </c>
      <c r="E29" s="14">
        <f t="shared" si="4"/>
        <v>48</v>
      </c>
      <c r="F29" s="7" t="s">
        <v>13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hidden="1" customHeight="1" outlineLevel="1">
      <c r="A30" s="9" t="s">
        <v>33</v>
      </c>
      <c r="B30" s="9" t="s">
        <v>34</v>
      </c>
      <c r="C30" s="13" t="s">
        <v>35</v>
      </c>
      <c r="D30" s="10">
        <v>200.0</v>
      </c>
      <c r="E30" s="11">
        <f t="shared" ref="E30:E32" si="5">SUM(D30*0.8)</f>
        <v>160</v>
      </c>
      <c r="F30" s="7" t="s">
        <v>13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hidden="1" customHeight="1" outlineLevel="1">
      <c r="A31" s="13" t="s">
        <v>36</v>
      </c>
      <c r="B31" s="13" t="s">
        <v>34</v>
      </c>
      <c r="C31" s="13" t="s">
        <v>37</v>
      </c>
      <c r="D31" s="10">
        <v>400.0</v>
      </c>
      <c r="E31" s="11">
        <f t="shared" si="5"/>
        <v>320</v>
      </c>
      <c r="F31" s="7" t="s">
        <v>13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hidden="1" customHeight="1" outlineLevel="1">
      <c r="A32" s="13" t="s">
        <v>38</v>
      </c>
      <c r="B32" s="13" t="s">
        <v>34</v>
      </c>
      <c r="C32" s="13" t="s">
        <v>39</v>
      </c>
      <c r="D32" s="10">
        <v>600.0</v>
      </c>
      <c r="E32" s="11">
        <f t="shared" si="5"/>
        <v>480</v>
      </c>
      <c r="F32" s="7" t="s">
        <v>13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 collapsed="1">
      <c r="A33" s="15" t="s">
        <v>58</v>
      </c>
      <c r="B33" s="16"/>
      <c r="C33" s="16"/>
      <c r="D33" s="16"/>
      <c r="E33" s="16"/>
      <c r="F33" s="16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9" t="s">
        <v>59</v>
      </c>
      <c r="B34" s="8" t="s">
        <v>60</v>
      </c>
      <c r="C34" s="9" t="s">
        <v>61</v>
      </c>
      <c r="D34" s="10">
        <v>3999.0</v>
      </c>
      <c r="E34" s="11">
        <f t="shared" ref="E34:E44" si="6">SUM(D34*0.8)</f>
        <v>3199.2</v>
      </c>
      <c r="F34" s="11">
        <f>SUM(D34*0.7)</f>
        <v>2799.3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hidden="1" customHeight="1" outlineLevel="1">
      <c r="A35" s="9" t="s">
        <v>62</v>
      </c>
      <c r="B35" s="9" t="s">
        <v>63</v>
      </c>
      <c r="C35" s="9" t="s">
        <v>64</v>
      </c>
      <c r="D35" s="10">
        <v>1800.0</v>
      </c>
      <c r="E35" s="11">
        <f t="shared" si="6"/>
        <v>1440</v>
      </c>
      <c r="F35" s="7" t="s">
        <v>13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hidden="1" customHeight="1" outlineLevel="1">
      <c r="A36" s="9" t="s">
        <v>65</v>
      </c>
      <c r="B36" s="9" t="s">
        <v>66</v>
      </c>
      <c r="C36" s="9" t="s">
        <v>67</v>
      </c>
      <c r="D36" s="10">
        <v>999.0</v>
      </c>
      <c r="E36" s="11">
        <f t="shared" si="6"/>
        <v>799.2</v>
      </c>
      <c r="F36" s="7" t="s">
        <v>13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hidden="1" customHeight="1" outlineLevel="1">
      <c r="A37" s="13" t="s">
        <v>68</v>
      </c>
      <c r="B37" s="13" t="s">
        <v>69</v>
      </c>
      <c r="C37" s="9" t="s">
        <v>70</v>
      </c>
      <c r="D37" s="10">
        <v>999.0</v>
      </c>
      <c r="E37" s="11">
        <f t="shared" si="6"/>
        <v>799.2</v>
      </c>
      <c r="F37" s="7" t="s">
        <v>13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hidden="1" customHeight="1" outlineLevel="1">
      <c r="A38" s="13" t="s">
        <v>71</v>
      </c>
      <c r="B38" s="13" t="s">
        <v>72</v>
      </c>
      <c r="C38" s="9" t="s">
        <v>70</v>
      </c>
      <c r="D38" s="10">
        <v>1698.0</v>
      </c>
      <c r="E38" s="11">
        <f t="shared" si="6"/>
        <v>1358.4</v>
      </c>
      <c r="F38" s="7" t="s">
        <v>13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hidden="1" customHeight="1" outlineLevel="1">
      <c r="A39" s="13" t="s">
        <v>73</v>
      </c>
      <c r="B39" s="13" t="s">
        <v>74</v>
      </c>
      <c r="C39" s="9" t="s">
        <v>70</v>
      </c>
      <c r="D39" s="10">
        <v>2797.0</v>
      </c>
      <c r="E39" s="11">
        <f t="shared" si="6"/>
        <v>2237.6</v>
      </c>
      <c r="F39" s="7" t="s">
        <v>13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hidden="1" customHeight="1" outlineLevel="1">
      <c r="A40" s="9" t="s">
        <v>75</v>
      </c>
      <c r="B40" s="9" t="s">
        <v>76</v>
      </c>
      <c r="C40" s="9" t="s">
        <v>77</v>
      </c>
      <c r="D40" s="10">
        <v>679.0</v>
      </c>
      <c r="E40" s="11">
        <f t="shared" si="6"/>
        <v>543.2</v>
      </c>
      <c r="F40" s="7" t="s">
        <v>13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hidden="1" customHeight="1" outlineLevel="1">
      <c r="A41" s="9" t="s">
        <v>78</v>
      </c>
      <c r="B41" s="9" t="s">
        <v>79</v>
      </c>
      <c r="C41" s="9" t="s">
        <v>77</v>
      </c>
      <c r="D41" s="10">
        <v>1319.0</v>
      </c>
      <c r="E41" s="11">
        <f t="shared" si="6"/>
        <v>1055.2</v>
      </c>
      <c r="F41" s="7" t="s">
        <v>13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hidden="1" customHeight="1" outlineLevel="1">
      <c r="A42" s="9" t="s">
        <v>25</v>
      </c>
      <c r="B42" s="13" t="s">
        <v>26</v>
      </c>
      <c r="C42" s="9" t="s">
        <v>80</v>
      </c>
      <c r="D42" s="10">
        <v>20.0</v>
      </c>
      <c r="E42" s="11">
        <f t="shared" si="6"/>
        <v>16</v>
      </c>
      <c r="F42" s="7" t="s">
        <v>13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hidden="1" customHeight="1" outlineLevel="1">
      <c r="A43" s="9" t="s">
        <v>28</v>
      </c>
      <c r="B43" s="13" t="s">
        <v>29</v>
      </c>
      <c r="C43" s="9" t="s">
        <v>30</v>
      </c>
      <c r="D43" s="10">
        <v>40.0</v>
      </c>
      <c r="E43" s="11">
        <f t="shared" si="6"/>
        <v>32</v>
      </c>
      <c r="F43" s="7" t="s">
        <v>13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hidden="1" customHeight="1" outlineLevel="1">
      <c r="A44" s="9" t="s">
        <v>31</v>
      </c>
      <c r="B44" s="13" t="s">
        <v>32</v>
      </c>
      <c r="C44" s="9" t="s">
        <v>81</v>
      </c>
      <c r="D44" s="10">
        <v>60.0</v>
      </c>
      <c r="E44" s="11">
        <f t="shared" si="6"/>
        <v>48</v>
      </c>
      <c r="F44" s="7" t="s">
        <v>13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 collapsed="1">
      <c r="A45" s="15" t="s">
        <v>82</v>
      </c>
      <c r="B45" s="16"/>
      <c r="C45" s="16"/>
      <c r="D45" s="16"/>
      <c r="E45" s="16"/>
      <c r="F45" s="16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9" t="s">
        <v>83</v>
      </c>
      <c r="B46" s="8" t="s">
        <v>84</v>
      </c>
      <c r="C46" s="9" t="s">
        <v>85</v>
      </c>
      <c r="D46" s="10">
        <v>7999.0</v>
      </c>
      <c r="E46" s="11">
        <f t="shared" ref="E46:E55" si="7">SUM(D46*0.8)</f>
        <v>6399.2</v>
      </c>
      <c r="F46" s="11">
        <f>SUM(D46*0.7)</f>
        <v>5599.3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hidden="1" customHeight="1" outlineLevel="2">
      <c r="A47" s="9" t="s">
        <v>86</v>
      </c>
      <c r="B47" s="9" t="s">
        <v>63</v>
      </c>
      <c r="C47" s="9" t="s">
        <v>87</v>
      </c>
      <c r="D47" s="10">
        <v>3600.0</v>
      </c>
      <c r="E47" s="11">
        <f t="shared" si="7"/>
        <v>2880</v>
      </c>
      <c r="F47" s="7" t="s">
        <v>13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hidden="1" customHeight="1" outlineLevel="2">
      <c r="A48" s="9" t="s">
        <v>88</v>
      </c>
      <c r="B48" s="13" t="s">
        <v>69</v>
      </c>
      <c r="C48" s="9" t="s">
        <v>89</v>
      </c>
      <c r="D48" s="10">
        <v>1999.0</v>
      </c>
      <c r="E48" s="11">
        <f t="shared" si="7"/>
        <v>1599.2</v>
      </c>
      <c r="F48" s="7" t="s">
        <v>13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hidden="1" customHeight="1" outlineLevel="2">
      <c r="A49" s="9" t="s">
        <v>90</v>
      </c>
      <c r="B49" s="13" t="s">
        <v>72</v>
      </c>
      <c r="C49" s="9" t="s">
        <v>89</v>
      </c>
      <c r="D49" s="10">
        <v>3398.0</v>
      </c>
      <c r="E49" s="11">
        <f t="shared" si="7"/>
        <v>2718.4</v>
      </c>
      <c r="F49" s="7" t="s">
        <v>13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hidden="1" customHeight="1" outlineLevel="2">
      <c r="A50" s="9" t="s">
        <v>91</v>
      </c>
      <c r="B50" s="13" t="s">
        <v>74</v>
      </c>
      <c r="C50" s="9" t="s">
        <v>89</v>
      </c>
      <c r="D50" s="10">
        <v>5597.0</v>
      </c>
      <c r="E50" s="11">
        <f t="shared" si="7"/>
        <v>4477.6</v>
      </c>
      <c r="F50" s="7" t="s">
        <v>13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hidden="1" customHeight="1" outlineLevel="2">
      <c r="A51" s="9" t="s">
        <v>92</v>
      </c>
      <c r="B51" s="9" t="s">
        <v>76</v>
      </c>
      <c r="C51" s="9" t="s">
        <v>93</v>
      </c>
      <c r="D51" s="10">
        <v>1359.0</v>
      </c>
      <c r="E51" s="11">
        <f t="shared" si="7"/>
        <v>1087.2</v>
      </c>
      <c r="F51" s="7" t="s">
        <v>13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hidden="1" customHeight="1" outlineLevel="2">
      <c r="A52" s="9" t="s">
        <v>94</v>
      </c>
      <c r="B52" s="9" t="s">
        <v>79</v>
      </c>
      <c r="C52" s="9" t="s">
        <v>93</v>
      </c>
      <c r="D52" s="10">
        <v>2639.0</v>
      </c>
      <c r="E52" s="11">
        <f t="shared" si="7"/>
        <v>2111.2</v>
      </c>
      <c r="F52" s="7" t="s">
        <v>13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hidden="1" customHeight="1" outlineLevel="2">
      <c r="A53" s="9" t="s">
        <v>25</v>
      </c>
      <c r="B53" s="13" t="s">
        <v>26</v>
      </c>
      <c r="C53" s="9" t="s">
        <v>80</v>
      </c>
      <c r="D53" s="10">
        <v>20.0</v>
      </c>
      <c r="E53" s="11">
        <f t="shared" si="7"/>
        <v>16</v>
      </c>
      <c r="F53" s="7" t="s">
        <v>13</v>
      </c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hidden="1" customHeight="1" outlineLevel="2">
      <c r="A54" s="9" t="s">
        <v>28</v>
      </c>
      <c r="B54" s="13" t="s">
        <v>29</v>
      </c>
      <c r="C54" s="9" t="s">
        <v>30</v>
      </c>
      <c r="D54" s="10">
        <v>40.0</v>
      </c>
      <c r="E54" s="11">
        <f t="shared" si="7"/>
        <v>32</v>
      </c>
      <c r="F54" s="7" t="s">
        <v>13</v>
      </c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hidden="1" customHeight="1" outlineLevel="2">
      <c r="A55" s="9" t="s">
        <v>31</v>
      </c>
      <c r="B55" s="13" t="s">
        <v>32</v>
      </c>
      <c r="C55" s="9" t="s">
        <v>81</v>
      </c>
      <c r="D55" s="10">
        <v>60.0</v>
      </c>
      <c r="E55" s="11">
        <f t="shared" si="7"/>
        <v>48</v>
      </c>
      <c r="F55" s="7" t="s">
        <v>13</v>
      </c>
      <c r="G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 collapsed="1">
      <c r="A56" s="15" t="s">
        <v>95</v>
      </c>
      <c r="B56" s="15"/>
      <c r="C56" s="15"/>
      <c r="D56" s="15"/>
      <c r="E56" s="15"/>
      <c r="F56" s="15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9" t="s">
        <v>96</v>
      </c>
      <c r="B57" s="8" t="s">
        <v>97</v>
      </c>
      <c r="C57" s="9" t="s">
        <v>98</v>
      </c>
      <c r="D57" s="10">
        <v>8499.0</v>
      </c>
      <c r="E57" s="11">
        <f t="shared" ref="E57:E70" si="8">SUM(D57*0.8)</f>
        <v>6799.2</v>
      </c>
      <c r="F57" s="11">
        <f>SUM(D57*0.7)</f>
        <v>5949.3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hidden="1" customHeight="1" outlineLevel="1">
      <c r="A58" s="13" t="s">
        <v>99</v>
      </c>
      <c r="B58" s="9" t="s">
        <v>11</v>
      </c>
      <c r="C58" s="13" t="s">
        <v>100</v>
      </c>
      <c r="D58" s="14">
        <v>1299.0</v>
      </c>
      <c r="E58" s="11">
        <f t="shared" si="8"/>
        <v>1039.2</v>
      </c>
      <c r="F58" s="7" t="s">
        <v>38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hidden="1" customHeight="1" outlineLevel="1">
      <c r="A59" s="13" t="s">
        <v>101</v>
      </c>
      <c r="B59" s="9" t="s">
        <v>15</v>
      </c>
      <c r="C59" s="13" t="s">
        <v>100</v>
      </c>
      <c r="D59" s="14">
        <v>2598.0</v>
      </c>
      <c r="E59" s="11">
        <f t="shared" si="8"/>
        <v>2078.4</v>
      </c>
      <c r="F59" s="7" t="s">
        <v>13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hidden="1" customHeight="1" outlineLevel="1">
      <c r="A60" s="13" t="s">
        <v>102</v>
      </c>
      <c r="B60" s="9" t="s">
        <v>17</v>
      </c>
      <c r="C60" s="13" t="s">
        <v>100</v>
      </c>
      <c r="D60" s="14">
        <v>5196.0</v>
      </c>
      <c r="E60" s="11">
        <f t="shared" si="8"/>
        <v>4156.8</v>
      </c>
      <c r="F60" s="7" t="s">
        <v>13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hidden="1" customHeight="1" outlineLevel="1">
      <c r="A61" s="13" t="s">
        <v>103</v>
      </c>
      <c r="B61" s="13" t="s">
        <v>19</v>
      </c>
      <c r="C61" s="13" t="s">
        <v>104</v>
      </c>
      <c r="D61" s="14">
        <v>1559.0</v>
      </c>
      <c r="E61" s="11">
        <f t="shared" si="8"/>
        <v>1247.2</v>
      </c>
      <c r="F61" s="7" t="s">
        <v>13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hidden="1" customHeight="1" outlineLevel="1">
      <c r="A62" s="13" t="s">
        <v>105</v>
      </c>
      <c r="B62" s="13" t="s">
        <v>22</v>
      </c>
      <c r="C62" s="13" t="s">
        <v>104</v>
      </c>
      <c r="D62" s="14">
        <v>2650.0</v>
      </c>
      <c r="E62" s="11">
        <f t="shared" si="8"/>
        <v>2120</v>
      </c>
      <c r="F62" s="7" t="s">
        <v>13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hidden="1" customHeight="1" outlineLevel="1">
      <c r="A63" s="13" t="s">
        <v>106</v>
      </c>
      <c r="B63" s="13" t="s">
        <v>24</v>
      </c>
      <c r="C63" s="13" t="s">
        <v>104</v>
      </c>
      <c r="D63" s="14">
        <v>4365.0</v>
      </c>
      <c r="E63" s="11">
        <f t="shared" si="8"/>
        <v>3492</v>
      </c>
      <c r="F63" s="7" t="s">
        <v>13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hidden="1" customHeight="1" outlineLevel="1">
      <c r="A64" s="9" t="s">
        <v>25</v>
      </c>
      <c r="B64" s="13" t="s">
        <v>26</v>
      </c>
      <c r="C64" s="9" t="s">
        <v>80</v>
      </c>
      <c r="D64" s="10">
        <v>20.0</v>
      </c>
      <c r="E64" s="11">
        <f t="shared" si="8"/>
        <v>16</v>
      </c>
      <c r="F64" s="7" t="s">
        <v>13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hidden="1" customHeight="1" outlineLevel="1">
      <c r="A65" s="9" t="s">
        <v>28</v>
      </c>
      <c r="B65" s="13" t="s">
        <v>29</v>
      </c>
      <c r="C65" s="9" t="s">
        <v>30</v>
      </c>
      <c r="D65" s="10">
        <v>40.0</v>
      </c>
      <c r="E65" s="11">
        <f t="shared" si="8"/>
        <v>32</v>
      </c>
      <c r="F65" s="7" t="s">
        <v>13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hidden="1" customHeight="1" outlineLevel="1">
      <c r="A66" s="9" t="s">
        <v>31</v>
      </c>
      <c r="B66" s="13" t="s">
        <v>32</v>
      </c>
      <c r="C66" s="9" t="s">
        <v>81</v>
      </c>
      <c r="D66" s="10">
        <v>60.0</v>
      </c>
      <c r="E66" s="11">
        <f t="shared" si="8"/>
        <v>48</v>
      </c>
      <c r="F66" s="7" t="s">
        <v>13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hidden="1" customHeight="1" outlineLevel="1">
      <c r="A67" s="13" t="s">
        <v>33</v>
      </c>
      <c r="B67" s="9" t="s">
        <v>34</v>
      </c>
      <c r="C67" s="9" t="s">
        <v>107</v>
      </c>
      <c r="D67" s="10">
        <v>200.0</v>
      </c>
      <c r="E67" s="11">
        <f t="shared" si="8"/>
        <v>160</v>
      </c>
      <c r="F67" s="7" t="s">
        <v>13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hidden="1" customHeight="1" outlineLevel="1">
      <c r="A68" s="13" t="s">
        <v>36</v>
      </c>
      <c r="B68" s="9" t="s">
        <v>108</v>
      </c>
      <c r="C68" s="9" t="s">
        <v>109</v>
      </c>
      <c r="D68" s="10">
        <v>400.0</v>
      </c>
      <c r="E68" s="11">
        <f t="shared" si="8"/>
        <v>320</v>
      </c>
      <c r="F68" s="7" t="s">
        <v>13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hidden="1" customHeight="1" outlineLevel="1">
      <c r="A69" s="13" t="s">
        <v>38</v>
      </c>
      <c r="B69" s="9" t="s">
        <v>110</v>
      </c>
      <c r="C69" s="9" t="s">
        <v>111</v>
      </c>
      <c r="D69" s="10">
        <v>600.0</v>
      </c>
      <c r="E69" s="11">
        <f t="shared" si="8"/>
        <v>480</v>
      </c>
      <c r="F69" s="7" t="s">
        <v>13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hidden="1" customHeight="1" outlineLevel="1">
      <c r="A70" s="13" t="s">
        <v>112</v>
      </c>
      <c r="B70" s="9" t="s">
        <v>113</v>
      </c>
      <c r="C70" s="9" t="s">
        <v>114</v>
      </c>
      <c r="D70" s="10">
        <v>2000.0</v>
      </c>
      <c r="E70" s="11">
        <f t="shared" si="8"/>
        <v>1600</v>
      </c>
      <c r="F70" s="7" t="s">
        <v>13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 collapsed="1">
      <c r="A71" s="15" t="s">
        <v>115</v>
      </c>
      <c r="B71" s="15"/>
      <c r="C71" s="15"/>
      <c r="D71" s="15"/>
      <c r="E71" s="15"/>
      <c r="F71" s="15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9" t="s">
        <v>116</v>
      </c>
      <c r="B72" s="8" t="s">
        <v>117</v>
      </c>
      <c r="C72" s="9" t="s">
        <v>118</v>
      </c>
      <c r="D72" s="10">
        <v>15999.0</v>
      </c>
      <c r="E72" s="11">
        <f t="shared" ref="E72:E84" si="9">SUM(D72*0.8)</f>
        <v>12799.2</v>
      </c>
      <c r="F72" s="11">
        <f t="shared" ref="F72:F75" si="10">SUM(D72*0.7)</f>
        <v>11199.3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9" t="s">
        <v>119</v>
      </c>
      <c r="B73" s="8" t="s">
        <v>120</v>
      </c>
      <c r="C73" s="9" t="s">
        <v>121</v>
      </c>
      <c r="D73" s="10">
        <v>15999.0</v>
      </c>
      <c r="E73" s="11">
        <f t="shared" si="9"/>
        <v>12799.2</v>
      </c>
      <c r="F73" s="11">
        <f t="shared" si="10"/>
        <v>11199.3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9" t="s">
        <v>122</v>
      </c>
      <c r="B74" s="8" t="s">
        <v>123</v>
      </c>
      <c r="C74" s="9" t="s">
        <v>124</v>
      </c>
      <c r="D74" s="10">
        <v>15999.0</v>
      </c>
      <c r="E74" s="11">
        <f t="shared" si="9"/>
        <v>12799.2</v>
      </c>
      <c r="F74" s="11">
        <f t="shared" si="10"/>
        <v>11199.3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 t="s">
        <v>125</v>
      </c>
      <c r="B75" s="17" t="s">
        <v>126</v>
      </c>
      <c r="C75" s="13" t="s">
        <v>127</v>
      </c>
      <c r="D75" s="14">
        <v>18999.0</v>
      </c>
      <c r="E75" s="11">
        <f t="shared" si="9"/>
        <v>15199.2</v>
      </c>
      <c r="F75" s="11">
        <f t="shared" si="10"/>
        <v>13299.3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hidden="1" customHeight="1" outlineLevel="2">
      <c r="A76" s="13" t="s">
        <v>128</v>
      </c>
      <c r="B76" s="13" t="s">
        <v>69</v>
      </c>
      <c r="C76" s="9" t="s">
        <v>129</v>
      </c>
      <c r="D76" s="10">
        <v>3999.0</v>
      </c>
      <c r="E76" s="11">
        <f t="shared" si="9"/>
        <v>3199.2</v>
      </c>
      <c r="F76" s="7" t="s">
        <v>13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hidden="1" customHeight="1" outlineLevel="2">
      <c r="A77" s="13" t="s">
        <v>130</v>
      </c>
      <c r="B77" s="13" t="s">
        <v>72</v>
      </c>
      <c r="C77" s="9" t="s">
        <v>129</v>
      </c>
      <c r="D77" s="10">
        <v>6798.0</v>
      </c>
      <c r="E77" s="11">
        <f t="shared" si="9"/>
        <v>5438.4</v>
      </c>
      <c r="F77" s="7" t="s">
        <v>13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hidden="1" customHeight="1" outlineLevel="2">
      <c r="A78" s="13" t="s">
        <v>131</v>
      </c>
      <c r="B78" s="13" t="s">
        <v>74</v>
      </c>
      <c r="C78" s="9" t="s">
        <v>129</v>
      </c>
      <c r="D78" s="10">
        <v>11197.0</v>
      </c>
      <c r="E78" s="11">
        <f t="shared" si="9"/>
        <v>8957.6</v>
      </c>
      <c r="F78" s="7" t="s">
        <v>13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hidden="1" customHeight="1" outlineLevel="2">
      <c r="A79" s="9" t="s">
        <v>132</v>
      </c>
      <c r="B79" s="9" t="s">
        <v>76</v>
      </c>
      <c r="C79" s="9" t="s">
        <v>133</v>
      </c>
      <c r="D79" s="10">
        <v>2719.0</v>
      </c>
      <c r="E79" s="11">
        <f t="shared" si="9"/>
        <v>2175.2</v>
      </c>
      <c r="F79" s="7" t="s">
        <v>13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hidden="1" customHeight="1" outlineLevel="2">
      <c r="A80" s="9" t="s">
        <v>134</v>
      </c>
      <c r="B80" s="9" t="s">
        <v>79</v>
      </c>
      <c r="C80" s="9" t="s">
        <v>133</v>
      </c>
      <c r="D80" s="10">
        <v>5279.0</v>
      </c>
      <c r="E80" s="11">
        <f t="shared" si="9"/>
        <v>4223.2</v>
      </c>
      <c r="F80" s="7" t="s">
        <v>13</v>
      </c>
      <c r="G80" s="18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hidden="1" customHeight="1" outlineLevel="2">
      <c r="A81" s="9" t="s">
        <v>25</v>
      </c>
      <c r="B81" s="13" t="s">
        <v>26</v>
      </c>
      <c r="C81" s="9" t="s">
        <v>80</v>
      </c>
      <c r="D81" s="10">
        <v>20.0</v>
      </c>
      <c r="E81" s="11">
        <f t="shared" si="9"/>
        <v>16</v>
      </c>
      <c r="F81" s="7" t="s">
        <v>13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hidden="1" customHeight="1" outlineLevel="2">
      <c r="A82" s="9" t="s">
        <v>28</v>
      </c>
      <c r="B82" s="13" t="s">
        <v>29</v>
      </c>
      <c r="C82" s="9" t="s">
        <v>30</v>
      </c>
      <c r="D82" s="10">
        <v>40.0</v>
      </c>
      <c r="E82" s="11">
        <f t="shared" si="9"/>
        <v>32</v>
      </c>
      <c r="F82" s="7" t="s">
        <v>13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hidden="1" customHeight="1" outlineLevel="2">
      <c r="A83" s="9" t="s">
        <v>31</v>
      </c>
      <c r="B83" s="13" t="s">
        <v>32</v>
      </c>
      <c r="C83" s="9" t="s">
        <v>81</v>
      </c>
      <c r="D83" s="10">
        <v>60.0</v>
      </c>
      <c r="E83" s="11">
        <f t="shared" si="9"/>
        <v>48</v>
      </c>
      <c r="F83" s="7" t="s">
        <v>13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hidden="1" customHeight="1" outlineLevel="2">
      <c r="A84" s="13" t="s">
        <v>135</v>
      </c>
      <c r="B84" s="13" t="s">
        <v>34</v>
      </c>
      <c r="C84" s="9" t="s">
        <v>136</v>
      </c>
      <c r="D84" s="10">
        <v>4999.0</v>
      </c>
      <c r="E84" s="11">
        <f t="shared" si="9"/>
        <v>3999.2</v>
      </c>
      <c r="F84" s="7" t="s">
        <v>13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 collapsed="1">
      <c r="A85" s="15" t="s">
        <v>137</v>
      </c>
      <c r="B85" s="15"/>
      <c r="C85" s="15"/>
      <c r="D85" s="15"/>
      <c r="E85" s="15"/>
      <c r="F85" s="15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9" t="s">
        <v>138</v>
      </c>
      <c r="B86" s="8" t="s">
        <v>139</v>
      </c>
      <c r="C86" s="9" t="s">
        <v>140</v>
      </c>
      <c r="D86" s="10">
        <v>29999.0</v>
      </c>
      <c r="E86" s="11">
        <f t="shared" ref="E86:E100" si="11">SUM(D86*0.8)</f>
        <v>23999.2</v>
      </c>
      <c r="F86" s="11">
        <f t="shared" ref="F86:F87" si="12">SUM(D86*0.7)</f>
        <v>20999.3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9" t="s">
        <v>141</v>
      </c>
      <c r="B87" s="8" t="s">
        <v>142</v>
      </c>
      <c r="C87" s="9" t="s">
        <v>143</v>
      </c>
      <c r="D87" s="10">
        <v>32999.0</v>
      </c>
      <c r="E87" s="11">
        <f t="shared" si="11"/>
        <v>26399.2</v>
      </c>
      <c r="F87" s="11">
        <f t="shared" si="12"/>
        <v>23099.3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hidden="1" customHeight="1" outlineLevel="2">
      <c r="A88" s="9" t="s">
        <v>144</v>
      </c>
      <c r="B88" s="9" t="s">
        <v>11</v>
      </c>
      <c r="C88" s="9" t="s">
        <v>145</v>
      </c>
      <c r="D88" s="10">
        <v>3999.0</v>
      </c>
      <c r="E88" s="11">
        <f t="shared" si="11"/>
        <v>3199.2</v>
      </c>
      <c r="F88" s="7" t="s">
        <v>13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hidden="1" customHeight="1" outlineLevel="2">
      <c r="A89" s="13" t="s">
        <v>146</v>
      </c>
      <c r="B89" s="9" t="s">
        <v>15</v>
      </c>
      <c r="C89" s="9" t="s">
        <v>145</v>
      </c>
      <c r="D89" s="10">
        <v>7998.0</v>
      </c>
      <c r="E89" s="11">
        <f t="shared" si="11"/>
        <v>6398.4</v>
      </c>
      <c r="F89" s="7" t="s">
        <v>13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hidden="1" customHeight="1" outlineLevel="2">
      <c r="A90" s="13" t="s">
        <v>147</v>
      </c>
      <c r="B90" s="9" t="s">
        <v>17</v>
      </c>
      <c r="C90" s="9" t="s">
        <v>145</v>
      </c>
      <c r="D90" s="10">
        <v>15996.0</v>
      </c>
      <c r="E90" s="11">
        <f t="shared" si="11"/>
        <v>12796.8</v>
      </c>
      <c r="F90" s="7" t="s">
        <v>13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hidden="1" customHeight="1" outlineLevel="2">
      <c r="A91" s="13" t="s">
        <v>148</v>
      </c>
      <c r="B91" s="13" t="s">
        <v>19</v>
      </c>
      <c r="C91" s="9" t="s">
        <v>149</v>
      </c>
      <c r="D91" s="10">
        <v>4799.0</v>
      </c>
      <c r="E91" s="11">
        <f t="shared" si="11"/>
        <v>3839.2</v>
      </c>
      <c r="F91" s="7" t="s">
        <v>13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hidden="1" customHeight="1" outlineLevel="2">
      <c r="A92" s="9" t="s">
        <v>150</v>
      </c>
      <c r="B92" s="13" t="s">
        <v>22</v>
      </c>
      <c r="C92" s="9" t="s">
        <v>149</v>
      </c>
      <c r="D92" s="10">
        <v>8158.0</v>
      </c>
      <c r="E92" s="11">
        <f t="shared" si="11"/>
        <v>6526.4</v>
      </c>
      <c r="F92" s="7" t="s">
        <v>13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hidden="1" customHeight="1" outlineLevel="2">
      <c r="A93" s="9" t="s">
        <v>151</v>
      </c>
      <c r="B93" s="13" t="s">
        <v>24</v>
      </c>
      <c r="C93" s="9" t="s">
        <v>149</v>
      </c>
      <c r="D93" s="10">
        <v>13437.0</v>
      </c>
      <c r="E93" s="11">
        <f t="shared" si="11"/>
        <v>10749.6</v>
      </c>
      <c r="F93" s="7" t="s">
        <v>13</v>
      </c>
      <c r="G93" s="18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hidden="1" customHeight="1" outlineLevel="2">
      <c r="A94" s="9" t="s">
        <v>25</v>
      </c>
      <c r="B94" s="13" t="s">
        <v>26</v>
      </c>
      <c r="C94" s="9" t="s">
        <v>80</v>
      </c>
      <c r="D94" s="10">
        <v>20.0</v>
      </c>
      <c r="E94" s="11">
        <f t="shared" si="11"/>
        <v>16</v>
      </c>
      <c r="F94" s="7" t="s">
        <v>13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 outlineLevel="2">
      <c r="A95" s="9" t="s">
        <v>28</v>
      </c>
      <c r="B95" s="13" t="s">
        <v>29</v>
      </c>
      <c r="C95" s="9" t="s">
        <v>30</v>
      </c>
      <c r="D95" s="10">
        <v>40.0</v>
      </c>
      <c r="E95" s="11">
        <f t="shared" si="11"/>
        <v>32</v>
      </c>
      <c r="F95" s="7" t="s">
        <v>13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 outlineLevel="2">
      <c r="A96" s="9" t="s">
        <v>31</v>
      </c>
      <c r="B96" s="13" t="s">
        <v>32</v>
      </c>
      <c r="C96" s="9" t="s">
        <v>81</v>
      </c>
      <c r="D96" s="10">
        <v>60.0</v>
      </c>
      <c r="E96" s="11">
        <f t="shared" si="11"/>
        <v>48</v>
      </c>
      <c r="F96" s="7" t="s">
        <v>13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 outlineLevel="2">
      <c r="A97" s="13" t="s">
        <v>33</v>
      </c>
      <c r="B97" s="9" t="s">
        <v>34</v>
      </c>
      <c r="C97" s="9" t="s">
        <v>107</v>
      </c>
      <c r="D97" s="10">
        <v>200.0</v>
      </c>
      <c r="E97" s="11">
        <f t="shared" si="11"/>
        <v>160</v>
      </c>
      <c r="F97" s="7" t="s">
        <v>13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 outlineLevel="2">
      <c r="A98" s="13" t="s">
        <v>36</v>
      </c>
      <c r="B98" s="9" t="s">
        <v>108</v>
      </c>
      <c r="C98" s="9" t="s">
        <v>109</v>
      </c>
      <c r="D98" s="10">
        <v>400.0</v>
      </c>
      <c r="E98" s="11">
        <f t="shared" si="11"/>
        <v>320</v>
      </c>
      <c r="F98" s="7" t="s">
        <v>13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 outlineLevel="2">
      <c r="A99" s="13" t="s">
        <v>38</v>
      </c>
      <c r="B99" s="9" t="s">
        <v>110</v>
      </c>
      <c r="C99" s="9" t="s">
        <v>111</v>
      </c>
      <c r="D99" s="10">
        <v>600.0</v>
      </c>
      <c r="E99" s="11">
        <f t="shared" si="11"/>
        <v>480</v>
      </c>
      <c r="F99" s="7" t="s">
        <v>13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 outlineLevel="2">
      <c r="A100" s="13" t="s">
        <v>112</v>
      </c>
      <c r="B100" s="9" t="s">
        <v>113</v>
      </c>
      <c r="C100" s="9" t="s">
        <v>114</v>
      </c>
      <c r="D100" s="10">
        <v>2000.0</v>
      </c>
      <c r="E100" s="11">
        <f t="shared" si="11"/>
        <v>1600</v>
      </c>
      <c r="F100" s="7" t="s">
        <v>13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 collapsed="1">
      <c r="A101" s="15" t="s">
        <v>152</v>
      </c>
      <c r="B101" s="15"/>
      <c r="C101" s="15"/>
      <c r="D101" s="15"/>
      <c r="E101" s="15"/>
      <c r="F101" s="15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4" t="s">
        <v>153</v>
      </c>
      <c r="B102" s="5"/>
      <c r="C102" s="5"/>
      <c r="D102" s="5"/>
      <c r="E102" s="6"/>
      <c r="F102" s="5"/>
    </row>
    <row r="103" ht="15.75" customHeight="1">
      <c r="A103" s="9" t="s">
        <v>154</v>
      </c>
      <c r="B103" s="8" t="s">
        <v>155</v>
      </c>
      <c r="C103" s="9" t="s">
        <v>156</v>
      </c>
      <c r="D103" s="10">
        <v>299.0</v>
      </c>
      <c r="E103" s="10">
        <f t="shared" ref="E103:E120" si="13">SUM(D103*0.8)</f>
        <v>239.2</v>
      </c>
      <c r="F103" s="7" t="s">
        <v>13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9" t="s">
        <v>157</v>
      </c>
      <c r="B104" s="8" t="s">
        <v>158</v>
      </c>
      <c r="C104" s="9" t="s">
        <v>159</v>
      </c>
      <c r="D104" s="10">
        <v>399.0</v>
      </c>
      <c r="E104" s="10">
        <f t="shared" si="13"/>
        <v>319.2</v>
      </c>
      <c r="F104" s="7" t="s">
        <v>13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9" t="s">
        <v>160</v>
      </c>
      <c r="B105" s="8" t="s">
        <v>161</v>
      </c>
      <c r="C105" s="9" t="s">
        <v>162</v>
      </c>
      <c r="D105" s="10">
        <v>599.0</v>
      </c>
      <c r="E105" s="10">
        <f t="shared" si="13"/>
        <v>479.2</v>
      </c>
      <c r="F105" s="7" t="s">
        <v>13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 outlineLevel="1">
      <c r="A106" s="9" t="s">
        <v>163</v>
      </c>
      <c r="B106" s="9" t="s">
        <v>11</v>
      </c>
      <c r="C106" s="13" t="s">
        <v>164</v>
      </c>
      <c r="D106" s="10">
        <v>49.0</v>
      </c>
      <c r="E106" s="11">
        <f t="shared" si="13"/>
        <v>39.2</v>
      </c>
      <c r="F106" s="7" t="s">
        <v>13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 outlineLevel="1">
      <c r="A107" s="9" t="s">
        <v>165</v>
      </c>
      <c r="B107" s="9" t="s">
        <v>15</v>
      </c>
      <c r="C107" s="13" t="s">
        <v>164</v>
      </c>
      <c r="D107" s="10">
        <v>98.0</v>
      </c>
      <c r="E107" s="11">
        <f t="shared" si="13"/>
        <v>78.4</v>
      </c>
      <c r="F107" s="7" t="s">
        <v>13</v>
      </c>
      <c r="G107" s="13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hidden="1" customHeight="1" outlineLevel="1">
      <c r="A108" s="9" t="s">
        <v>166</v>
      </c>
      <c r="B108" s="9" t="s">
        <v>17</v>
      </c>
      <c r="C108" s="13" t="s">
        <v>164</v>
      </c>
      <c r="D108" s="10">
        <v>196.0</v>
      </c>
      <c r="E108" s="11">
        <f t="shared" si="13"/>
        <v>156.8</v>
      </c>
      <c r="F108" s="7" t="s">
        <v>13</v>
      </c>
      <c r="G108" s="13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hidden="1" customHeight="1" outlineLevel="1">
      <c r="A109" s="13" t="s">
        <v>167</v>
      </c>
      <c r="B109" s="13" t="s">
        <v>19</v>
      </c>
      <c r="C109" s="13" t="s">
        <v>168</v>
      </c>
      <c r="D109" s="10">
        <v>59.0</v>
      </c>
      <c r="E109" s="11">
        <f t="shared" si="13"/>
        <v>47.2</v>
      </c>
      <c r="F109" s="7" t="s">
        <v>13</v>
      </c>
      <c r="G109" s="13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hidden="1" customHeight="1" outlineLevel="1">
      <c r="A110" s="13" t="s">
        <v>169</v>
      </c>
      <c r="B110" s="13" t="s">
        <v>22</v>
      </c>
      <c r="C110" s="13" t="s">
        <v>168</v>
      </c>
      <c r="D110" s="10">
        <v>100.0</v>
      </c>
      <c r="E110" s="11">
        <f t="shared" si="13"/>
        <v>80</v>
      </c>
      <c r="F110" s="7" t="s">
        <v>13</v>
      </c>
      <c r="G110" s="13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hidden="1" customHeight="1" outlineLevel="1">
      <c r="A111" s="13" t="s">
        <v>170</v>
      </c>
      <c r="B111" s="13" t="s">
        <v>24</v>
      </c>
      <c r="C111" s="13" t="s">
        <v>168</v>
      </c>
      <c r="D111" s="10">
        <v>165.0</v>
      </c>
      <c r="E111" s="11">
        <f t="shared" si="13"/>
        <v>132</v>
      </c>
      <c r="F111" s="7" t="s">
        <v>13</v>
      </c>
      <c r="G111" s="13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hidden="1" customHeight="1" outlineLevel="1">
      <c r="A112" s="13" t="s">
        <v>171</v>
      </c>
      <c r="B112" s="13" t="s">
        <v>11</v>
      </c>
      <c r="C112" s="13" t="s">
        <v>172</v>
      </c>
      <c r="D112" s="10">
        <v>99.0</v>
      </c>
      <c r="E112" s="11">
        <f t="shared" si="13"/>
        <v>79.2</v>
      </c>
      <c r="F112" s="7" t="s">
        <v>13</v>
      </c>
      <c r="G112" s="1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hidden="1" customHeight="1" outlineLevel="1">
      <c r="A113" s="13" t="s">
        <v>173</v>
      </c>
      <c r="B113" s="13" t="s">
        <v>15</v>
      </c>
      <c r="C113" s="13" t="s">
        <v>172</v>
      </c>
      <c r="D113" s="10">
        <v>198.0</v>
      </c>
      <c r="E113" s="11">
        <f t="shared" si="13"/>
        <v>158.4</v>
      </c>
      <c r="F113" s="7" t="s">
        <v>13</v>
      </c>
      <c r="G113" s="1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hidden="1" customHeight="1" outlineLevel="1">
      <c r="A114" s="13" t="s">
        <v>174</v>
      </c>
      <c r="B114" s="13" t="s">
        <v>17</v>
      </c>
      <c r="C114" s="13" t="s">
        <v>172</v>
      </c>
      <c r="D114" s="10">
        <v>396.0</v>
      </c>
      <c r="E114" s="11">
        <f t="shared" si="13"/>
        <v>316.8</v>
      </c>
      <c r="F114" s="7" t="s">
        <v>13</v>
      </c>
      <c r="G114" s="1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hidden="1" customHeight="1" outlineLevel="1">
      <c r="A115" s="13" t="s">
        <v>175</v>
      </c>
      <c r="B115" s="13" t="s">
        <v>19</v>
      </c>
      <c r="C115" s="13" t="s">
        <v>176</v>
      </c>
      <c r="D115" s="10">
        <v>119.0</v>
      </c>
      <c r="E115" s="11">
        <f t="shared" si="13"/>
        <v>95.2</v>
      </c>
      <c r="F115" s="7" t="s">
        <v>13</v>
      </c>
      <c r="G115" s="1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hidden="1" customHeight="1" outlineLevel="1">
      <c r="A116" s="13" t="s">
        <v>177</v>
      </c>
      <c r="B116" s="13" t="s">
        <v>22</v>
      </c>
      <c r="C116" s="13" t="s">
        <v>178</v>
      </c>
      <c r="D116" s="10">
        <v>202.0</v>
      </c>
      <c r="E116" s="11">
        <f t="shared" si="13"/>
        <v>161.6</v>
      </c>
      <c r="F116" s="7" t="s">
        <v>13</v>
      </c>
      <c r="G116" s="1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hidden="1" customHeight="1" outlineLevel="1">
      <c r="A117" s="13" t="s">
        <v>179</v>
      </c>
      <c r="B117" s="13" t="s">
        <v>24</v>
      </c>
      <c r="C117" s="13" t="s">
        <v>178</v>
      </c>
      <c r="D117" s="10">
        <v>333.0</v>
      </c>
      <c r="E117" s="11">
        <f t="shared" si="13"/>
        <v>266.4</v>
      </c>
      <c r="F117" s="7" t="s">
        <v>13</v>
      </c>
      <c r="G117" s="1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hidden="1" customHeight="1" outlineLevel="1">
      <c r="A118" s="9" t="s">
        <v>25</v>
      </c>
      <c r="B118" s="13" t="s">
        <v>26</v>
      </c>
      <c r="C118" s="9" t="s">
        <v>80</v>
      </c>
      <c r="D118" s="10">
        <v>20.0</v>
      </c>
      <c r="E118" s="11">
        <f t="shared" si="13"/>
        <v>16</v>
      </c>
      <c r="F118" s="7" t="s">
        <v>13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hidden="1" customHeight="1" outlineLevel="1">
      <c r="A119" s="9" t="s">
        <v>28</v>
      </c>
      <c r="B119" s="13" t="s">
        <v>29</v>
      </c>
      <c r="C119" s="9" t="s">
        <v>30</v>
      </c>
      <c r="D119" s="10">
        <v>40.0</v>
      </c>
      <c r="E119" s="11">
        <f t="shared" si="13"/>
        <v>32</v>
      </c>
      <c r="F119" s="7" t="s">
        <v>13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hidden="1" customHeight="1" outlineLevel="1">
      <c r="A120" s="9" t="s">
        <v>31</v>
      </c>
      <c r="B120" s="13" t="s">
        <v>32</v>
      </c>
      <c r="C120" s="9" t="s">
        <v>81</v>
      </c>
      <c r="D120" s="10">
        <v>60.0</v>
      </c>
      <c r="E120" s="11">
        <f t="shared" si="13"/>
        <v>48</v>
      </c>
      <c r="F120" s="7" t="s">
        <v>13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 collapsed="1">
      <c r="A121" s="19" t="s">
        <v>180</v>
      </c>
      <c r="B121" s="19"/>
      <c r="C121" s="19"/>
      <c r="D121" s="19"/>
      <c r="E121" s="19"/>
      <c r="F121" s="19"/>
      <c r="G121" s="1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4" t="s">
        <v>181</v>
      </c>
      <c r="B122" s="4"/>
      <c r="C122" s="4"/>
      <c r="D122" s="4"/>
      <c r="E122" s="4"/>
      <c r="F122" s="4"/>
    </row>
    <row r="123" ht="15.75" customHeight="1">
      <c r="A123" s="9" t="s">
        <v>182</v>
      </c>
      <c r="B123" s="8" t="s">
        <v>183</v>
      </c>
      <c r="C123" s="9" t="s">
        <v>184</v>
      </c>
      <c r="D123" s="10">
        <v>5999.0</v>
      </c>
      <c r="E123" s="11">
        <f t="shared" ref="E123:E133" si="14">SUM(D123*0.8)</f>
        <v>4799.2</v>
      </c>
      <c r="F123" s="11">
        <f>SUM(D123*0.7)</f>
        <v>4199.3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hidden="1" customHeight="1" outlineLevel="1">
      <c r="A124" s="9" t="s">
        <v>185</v>
      </c>
      <c r="B124" s="9" t="s">
        <v>186</v>
      </c>
      <c r="C124" s="9" t="s">
        <v>187</v>
      </c>
      <c r="D124" s="10">
        <v>1500.0</v>
      </c>
      <c r="E124" s="11">
        <f t="shared" si="14"/>
        <v>1200</v>
      </c>
      <c r="F124" s="7" t="s">
        <v>13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hidden="1" customHeight="1" outlineLevel="1">
      <c r="A125" s="9" t="s">
        <v>188</v>
      </c>
      <c r="B125" s="9" t="s">
        <v>189</v>
      </c>
      <c r="C125" s="9" t="s">
        <v>190</v>
      </c>
      <c r="D125" s="10">
        <v>700.0</v>
      </c>
      <c r="E125" s="11">
        <f t="shared" si="14"/>
        <v>560</v>
      </c>
      <c r="F125" s="7" t="s">
        <v>13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hidden="1" customHeight="1" outlineLevel="1">
      <c r="A126" s="13" t="s">
        <v>191</v>
      </c>
      <c r="B126" s="13" t="s">
        <v>69</v>
      </c>
      <c r="C126" s="9" t="s">
        <v>192</v>
      </c>
      <c r="D126" s="10">
        <v>1499.0</v>
      </c>
      <c r="E126" s="11">
        <f t="shared" si="14"/>
        <v>1199.2</v>
      </c>
      <c r="F126" s="7" t="s">
        <v>13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hidden="1" customHeight="1" outlineLevel="1">
      <c r="A127" s="13" t="s">
        <v>193</v>
      </c>
      <c r="B127" s="13" t="s">
        <v>72</v>
      </c>
      <c r="C127" s="9" t="s">
        <v>192</v>
      </c>
      <c r="D127" s="10">
        <v>2548.0</v>
      </c>
      <c r="E127" s="11">
        <f t="shared" si="14"/>
        <v>2038.4</v>
      </c>
      <c r="F127" s="7" t="s">
        <v>13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hidden="1" customHeight="1" outlineLevel="1">
      <c r="A128" s="13" t="s">
        <v>194</v>
      </c>
      <c r="B128" s="13" t="s">
        <v>74</v>
      </c>
      <c r="C128" s="9" t="s">
        <v>192</v>
      </c>
      <c r="D128" s="10">
        <v>4197.0</v>
      </c>
      <c r="E128" s="11">
        <f t="shared" si="14"/>
        <v>3357.6</v>
      </c>
      <c r="F128" s="7" t="s">
        <v>13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hidden="1" customHeight="1" outlineLevel="1">
      <c r="A129" s="9" t="s">
        <v>195</v>
      </c>
      <c r="B129" s="9" t="s">
        <v>76</v>
      </c>
      <c r="C129" s="9" t="s">
        <v>196</v>
      </c>
      <c r="D129" s="10">
        <v>1019.0</v>
      </c>
      <c r="E129" s="11">
        <f t="shared" si="14"/>
        <v>815.2</v>
      </c>
      <c r="F129" s="7" t="s">
        <v>13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hidden="1" customHeight="1" outlineLevel="1">
      <c r="A130" s="9" t="s">
        <v>197</v>
      </c>
      <c r="B130" s="9" t="s">
        <v>79</v>
      </c>
      <c r="C130" s="9" t="s">
        <v>196</v>
      </c>
      <c r="D130" s="10">
        <v>1979.0</v>
      </c>
      <c r="E130" s="11">
        <f t="shared" si="14"/>
        <v>1583.2</v>
      </c>
      <c r="F130" s="7" t="s">
        <v>13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hidden="1" customHeight="1" outlineLevel="1">
      <c r="A131" s="9" t="s">
        <v>25</v>
      </c>
      <c r="B131" s="13" t="s">
        <v>26</v>
      </c>
      <c r="C131" s="9" t="s">
        <v>80</v>
      </c>
      <c r="D131" s="10">
        <v>20.0</v>
      </c>
      <c r="E131" s="11">
        <f t="shared" si="14"/>
        <v>16</v>
      </c>
      <c r="F131" s="7" t="s">
        <v>13</v>
      </c>
      <c r="G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hidden="1" customHeight="1" outlineLevel="1">
      <c r="A132" s="9" t="s">
        <v>28</v>
      </c>
      <c r="B132" s="13" t="s">
        <v>29</v>
      </c>
      <c r="C132" s="9" t="s">
        <v>30</v>
      </c>
      <c r="D132" s="10">
        <v>40.0</v>
      </c>
      <c r="E132" s="11">
        <f t="shared" si="14"/>
        <v>32</v>
      </c>
      <c r="F132" s="7" t="s">
        <v>13</v>
      </c>
      <c r="G132" s="1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hidden="1" customHeight="1" outlineLevel="1">
      <c r="A133" s="9" t="s">
        <v>31</v>
      </c>
      <c r="B133" s="13" t="s">
        <v>32</v>
      </c>
      <c r="C133" s="9" t="s">
        <v>81</v>
      </c>
      <c r="D133" s="10">
        <v>60.0</v>
      </c>
      <c r="E133" s="11">
        <f t="shared" si="14"/>
        <v>48</v>
      </c>
      <c r="F133" s="7" t="s">
        <v>13</v>
      </c>
      <c r="G133" s="12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 collapsed="1">
      <c r="A134" s="15" t="s">
        <v>198</v>
      </c>
      <c r="B134" s="16"/>
      <c r="C134" s="16"/>
      <c r="D134" s="16"/>
      <c r="E134" s="16"/>
      <c r="F134" s="16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9" t="s">
        <v>199</v>
      </c>
      <c r="B135" s="8" t="s">
        <v>200</v>
      </c>
      <c r="C135" s="9" t="s">
        <v>184</v>
      </c>
      <c r="D135" s="10">
        <v>7999.0</v>
      </c>
      <c r="E135" s="11">
        <f t="shared" ref="E135:E143" si="15">SUM(D135*0.8)</f>
        <v>6399.2</v>
      </c>
      <c r="F135" s="11">
        <f>SUM(D135*0.7)</f>
        <v>5599.3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hidden="1" customHeight="1" outlineLevel="1">
      <c r="A136" s="13" t="s">
        <v>201</v>
      </c>
      <c r="B136" s="13" t="s">
        <v>69</v>
      </c>
      <c r="C136" s="9" t="s">
        <v>202</v>
      </c>
      <c r="D136" s="10">
        <v>1999.0</v>
      </c>
      <c r="E136" s="11">
        <f t="shared" si="15"/>
        <v>1599.2</v>
      </c>
      <c r="F136" s="7" t="s">
        <v>13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hidden="1" customHeight="1" outlineLevel="1">
      <c r="A137" s="13" t="s">
        <v>203</v>
      </c>
      <c r="B137" s="13" t="s">
        <v>72</v>
      </c>
      <c r="C137" s="9" t="s">
        <v>202</v>
      </c>
      <c r="D137" s="10">
        <v>3398.0</v>
      </c>
      <c r="E137" s="11">
        <f t="shared" si="15"/>
        <v>2718.4</v>
      </c>
      <c r="F137" s="7" t="s">
        <v>13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hidden="1" customHeight="1" outlineLevel="1">
      <c r="A138" s="13" t="s">
        <v>204</v>
      </c>
      <c r="B138" s="13" t="s">
        <v>74</v>
      </c>
      <c r="C138" s="9" t="s">
        <v>202</v>
      </c>
      <c r="D138" s="10">
        <v>5597.0</v>
      </c>
      <c r="E138" s="11">
        <f t="shared" si="15"/>
        <v>4477.6</v>
      </c>
      <c r="F138" s="7" t="s">
        <v>13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hidden="1" customHeight="1" outlineLevel="1">
      <c r="A139" s="9" t="s">
        <v>205</v>
      </c>
      <c r="B139" s="9" t="s">
        <v>76</v>
      </c>
      <c r="C139" s="9" t="s">
        <v>206</v>
      </c>
      <c r="D139" s="10">
        <v>1359.0</v>
      </c>
      <c r="E139" s="11">
        <f t="shared" si="15"/>
        <v>1087.2</v>
      </c>
      <c r="F139" s="7" t="s">
        <v>13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hidden="1" customHeight="1" outlineLevel="1">
      <c r="A140" s="9" t="s">
        <v>207</v>
      </c>
      <c r="B140" s="9" t="s">
        <v>79</v>
      </c>
      <c r="C140" s="9" t="s">
        <v>206</v>
      </c>
      <c r="D140" s="10">
        <v>2639.0</v>
      </c>
      <c r="E140" s="11">
        <f t="shared" si="15"/>
        <v>2111.2</v>
      </c>
      <c r="F140" s="7" t="s">
        <v>13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hidden="1" customHeight="1" outlineLevel="1">
      <c r="A141" s="9" t="s">
        <v>25</v>
      </c>
      <c r="B141" s="13" t="s">
        <v>26</v>
      </c>
      <c r="C141" s="9" t="s">
        <v>80</v>
      </c>
      <c r="D141" s="10">
        <v>20.0</v>
      </c>
      <c r="E141" s="11">
        <f t="shared" si="15"/>
        <v>16</v>
      </c>
      <c r="F141" s="7" t="s">
        <v>13</v>
      </c>
      <c r="G141" s="12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hidden="1" customHeight="1" outlineLevel="1">
      <c r="A142" s="9" t="s">
        <v>28</v>
      </c>
      <c r="B142" s="13" t="s">
        <v>29</v>
      </c>
      <c r="C142" s="9" t="s">
        <v>30</v>
      </c>
      <c r="D142" s="10">
        <v>40.0</v>
      </c>
      <c r="E142" s="11">
        <f t="shared" si="15"/>
        <v>32</v>
      </c>
      <c r="F142" s="7" t="s">
        <v>13</v>
      </c>
      <c r="G142" s="12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hidden="1" customHeight="1" outlineLevel="1">
      <c r="A143" s="9" t="s">
        <v>31</v>
      </c>
      <c r="B143" s="13" t="s">
        <v>32</v>
      </c>
      <c r="C143" s="9" t="s">
        <v>81</v>
      </c>
      <c r="D143" s="10">
        <v>60.0</v>
      </c>
      <c r="E143" s="11">
        <f t="shared" si="15"/>
        <v>48</v>
      </c>
      <c r="F143" s="7" t="s">
        <v>13</v>
      </c>
      <c r="G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 collapsed="1">
      <c r="A144" s="15" t="s">
        <v>208</v>
      </c>
      <c r="B144" s="16"/>
      <c r="C144" s="16"/>
      <c r="D144" s="16"/>
      <c r="E144" s="16"/>
      <c r="F144" s="16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9" t="s">
        <v>209</v>
      </c>
      <c r="B145" s="8" t="s">
        <v>210</v>
      </c>
      <c r="C145" s="9" t="s">
        <v>211</v>
      </c>
      <c r="D145" s="10">
        <v>4099.0</v>
      </c>
      <c r="E145" s="11">
        <f t="shared" ref="E145:E155" si="16">SUM(D145*0.8)</f>
        <v>3279.2</v>
      </c>
      <c r="F145" s="11">
        <f>SUM(D145*0.7)</f>
        <v>2869.3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hidden="1" customHeight="1" outlineLevel="2">
      <c r="A146" s="13" t="s">
        <v>212</v>
      </c>
      <c r="B146" s="9" t="s">
        <v>63</v>
      </c>
      <c r="C146" s="9" t="s">
        <v>213</v>
      </c>
      <c r="D146" s="10">
        <v>1650.0</v>
      </c>
      <c r="E146" s="11">
        <f t="shared" si="16"/>
        <v>1320</v>
      </c>
      <c r="F146" s="7" t="s">
        <v>13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hidden="1" customHeight="1" outlineLevel="2">
      <c r="A147" s="13" t="s">
        <v>214</v>
      </c>
      <c r="B147" s="20" t="s">
        <v>215</v>
      </c>
      <c r="C147" s="9" t="s">
        <v>216</v>
      </c>
      <c r="D147" s="10">
        <v>1000.0</v>
      </c>
      <c r="E147" s="11">
        <f t="shared" si="16"/>
        <v>800</v>
      </c>
      <c r="F147" s="7" t="s">
        <v>13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hidden="1" customHeight="1" outlineLevel="2">
      <c r="A148" s="13" t="s">
        <v>217</v>
      </c>
      <c r="B148" s="13" t="s">
        <v>69</v>
      </c>
      <c r="C148" s="9" t="s">
        <v>218</v>
      </c>
      <c r="D148" s="21">
        <v>999.0</v>
      </c>
      <c r="E148" s="11">
        <f t="shared" si="16"/>
        <v>799.2</v>
      </c>
      <c r="F148" s="7" t="s">
        <v>13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hidden="1" customHeight="1" outlineLevel="2">
      <c r="A149" s="13" t="s">
        <v>219</v>
      </c>
      <c r="B149" s="13" t="s">
        <v>72</v>
      </c>
      <c r="C149" s="9" t="s">
        <v>218</v>
      </c>
      <c r="D149" s="21">
        <v>1698.0</v>
      </c>
      <c r="E149" s="11">
        <f t="shared" si="16"/>
        <v>1358.4</v>
      </c>
      <c r="F149" s="7" t="s">
        <v>13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hidden="1" customHeight="1" outlineLevel="2">
      <c r="A150" s="13" t="s">
        <v>220</v>
      </c>
      <c r="B150" s="13" t="s">
        <v>74</v>
      </c>
      <c r="C150" s="9" t="s">
        <v>218</v>
      </c>
      <c r="D150" s="22">
        <v>2601.0</v>
      </c>
      <c r="E150" s="11">
        <f t="shared" si="16"/>
        <v>2080.8</v>
      </c>
      <c r="F150" s="7" t="s">
        <v>13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hidden="1" customHeight="1" outlineLevel="2">
      <c r="A151" s="13" t="s">
        <v>221</v>
      </c>
      <c r="B151" s="20" t="s">
        <v>76</v>
      </c>
      <c r="C151" s="9" t="s">
        <v>222</v>
      </c>
      <c r="D151" s="10">
        <v>699.0</v>
      </c>
      <c r="E151" s="11">
        <f t="shared" si="16"/>
        <v>559.2</v>
      </c>
      <c r="F151" s="7" t="s">
        <v>13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hidden="1" customHeight="1" outlineLevel="2">
      <c r="A152" s="9" t="s">
        <v>223</v>
      </c>
      <c r="B152" s="9" t="s">
        <v>79</v>
      </c>
      <c r="C152" s="9" t="s">
        <v>222</v>
      </c>
      <c r="D152" s="10">
        <v>1299.0</v>
      </c>
      <c r="E152" s="11">
        <f t="shared" si="16"/>
        <v>1039.2</v>
      </c>
      <c r="F152" s="7" t="s">
        <v>13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hidden="1" customHeight="1" outlineLevel="2">
      <c r="A153" s="9" t="s">
        <v>25</v>
      </c>
      <c r="B153" s="13" t="s">
        <v>26</v>
      </c>
      <c r="C153" s="9" t="s">
        <v>80</v>
      </c>
      <c r="D153" s="10">
        <v>20.0</v>
      </c>
      <c r="E153" s="11">
        <f t="shared" si="16"/>
        <v>16</v>
      </c>
      <c r="F153" s="7" t="s">
        <v>13</v>
      </c>
      <c r="G153" s="12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hidden="1" customHeight="1" outlineLevel="2">
      <c r="A154" s="9" t="s">
        <v>28</v>
      </c>
      <c r="B154" s="13" t="s">
        <v>29</v>
      </c>
      <c r="C154" s="9" t="s">
        <v>30</v>
      </c>
      <c r="D154" s="10">
        <v>40.0</v>
      </c>
      <c r="E154" s="11">
        <f t="shared" si="16"/>
        <v>32</v>
      </c>
      <c r="F154" s="7" t="s">
        <v>13</v>
      </c>
      <c r="G154" s="12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hidden="1" customHeight="1" outlineLevel="2">
      <c r="A155" s="9" t="s">
        <v>31</v>
      </c>
      <c r="B155" s="13" t="s">
        <v>32</v>
      </c>
      <c r="C155" s="9" t="s">
        <v>81</v>
      </c>
      <c r="D155" s="10">
        <v>60.0</v>
      </c>
      <c r="E155" s="11">
        <f t="shared" si="16"/>
        <v>48</v>
      </c>
      <c r="F155" s="7" t="s">
        <v>13</v>
      </c>
      <c r="G155" s="12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 collapsed="1">
      <c r="A156" s="15" t="s">
        <v>224</v>
      </c>
      <c r="B156" s="16"/>
      <c r="C156" s="16"/>
      <c r="D156" s="16"/>
      <c r="E156" s="16"/>
      <c r="F156" s="16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9" t="s">
        <v>225</v>
      </c>
      <c r="B157" s="8" t="s">
        <v>226</v>
      </c>
      <c r="C157" s="9" t="s">
        <v>227</v>
      </c>
      <c r="D157" s="10">
        <v>6999.0</v>
      </c>
      <c r="E157" s="11">
        <f t="shared" ref="E157:E169" si="17">SUM(D157*0.8)</f>
        <v>5599.2</v>
      </c>
      <c r="F157" s="11">
        <f>SUM(D157*0.7)</f>
        <v>4899.3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hidden="1" customHeight="1" outlineLevel="1">
      <c r="A158" s="9" t="s">
        <v>228</v>
      </c>
      <c r="B158" s="9" t="s">
        <v>63</v>
      </c>
      <c r="C158" s="9" t="s">
        <v>229</v>
      </c>
      <c r="D158" s="10">
        <v>2700.0</v>
      </c>
      <c r="E158" s="11">
        <f t="shared" si="17"/>
        <v>2160</v>
      </c>
      <c r="F158" s="7" t="s">
        <v>13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hidden="1" customHeight="1" outlineLevel="1">
      <c r="A159" s="9" t="s">
        <v>230</v>
      </c>
      <c r="B159" s="9" t="s">
        <v>231</v>
      </c>
      <c r="C159" s="9" t="s">
        <v>232</v>
      </c>
      <c r="D159" s="10">
        <v>1000.0</v>
      </c>
      <c r="E159" s="11">
        <f t="shared" si="17"/>
        <v>800</v>
      </c>
      <c r="F159" s="7" t="s">
        <v>13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hidden="1" customHeight="1" outlineLevel="1">
      <c r="A160" s="9" t="s">
        <v>233</v>
      </c>
      <c r="B160" s="9" t="s">
        <v>215</v>
      </c>
      <c r="C160" s="9" t="s">
        <v>234</v>
      </c>
      <c r="D160" s="10">
        <v>1300.0</v>
      </c>
      <c r="E160" s="11">
        <f t="shared" si="17"/>
        <v>1040</v>
      </c>
      <c r="F160" s="7" t="s">
        <v>13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hidden="1" customHeight="1" outlineLevel="1">
      <c r="A161" s="9" t="s">
        <v>235</v>
      </c>
      <c r="B161" s="9" t="s">
        <v>236</v>
      </c>
      <c r="C161" s="9" t="s">
        <v>237</v>
      </c>
      <c r="D161" s="10">
        <v>999.0</v>
      </c>
      <c r="E161" s="11">
        <f t="shared" si="17"/>
        <v>799.2</v>
      </c>
      <c r="F161" s="7" t="s">
        <v>13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hidden="1" customHeight="1" outlineLevel="1">
      <c r="A162" s="13" t="s">
        <v>238</v>
      </c>
      <c r="B162" s="13" t="s">
        <v>69</v>
      </c>
      <c r="C162" s="9" t="s">
        <v>239</v>
      </c>
      <c r="D162" s="10">
        <v>1799.0</v>
      </c>
      <c r="E162" s="11">
        <f t="shared" si="17"/>
        <v>1439.2</v>
      </c>
      <c r="F162" s="7" t="s">
        <v>13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hidden="1" customHeight="1" outlineLevel="1">
      <c r="A163" s="13" t="s">
        <v>240</v>
      </c>
      <c r="B163" s="13" t="s">
        <v>72</v>
      </c>
      <c r="C163" s="9" t="s">
        <v>239</v>
      </c>
      <c r="D163" s="10">
        <v>3058.0</v>
      </c>
      <c r="E163" s="11">
        <f t="shared" si="17"/>
        <v>2446.4</v>
      </c>
      <c r="F163" s="7" t="s">
        <v>13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hidden="1" customHeight="1" outlineLevel="1">
      <c r="A164" s="13" t="s">
        <v>241</v>
      </c>
      <c r="B164" s="13" t="s">
        <v>74</v>
      </c>
      <c r="C164" s="9" t="s">
        <v>239</v>
      </c>
      <c r="D164" s="10">
        <v>5037.0</v>
      </c>
      <c r="E164" s="11">
        <f t="shared" si="17"/>
        <v>4029.6</v>
      </c>
      <c r="F164" s="7" t="s">
        <v>13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hidden="1" customHeight="1" outlineLevel="1">
      <c r="A165" s="9" t="s">
        <v>242</v>
      </c>
      <c r="B165" s="9" t="s">
        <v>76</v>
      </c>
      <c r="C165" s="9" t="s">
        <v>243</v>
      </c>
      <c r="D165" s="10">
        <v>1199.0</v>
      </c>
      <c r="E165" s="11">
        <f t="shared" si="17"/>
        <v>959.2</v>
      </c>
      <c r="F165" s="7" t="s">
        <v>13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hidden="1" customHeight="1" outlineLevel="1">
      <c r="A166" s="9" t="s">
        <v>244</v>
      </c>
      <c r="B166" s="9" t="s">
        <v>79</v>
      </c>
      <c r="C166" s="9" t="s">
        <v>243</v>
      </c>
      <c r="D166" s="10">
        <v>2299.0</v>
      </c>
      <c r="E166" s="11">
        <f t="shared" si="17"/>
        <v>1839.2</v>
      </c>
      <c r="F166" s="7" t="s">
        <v>13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hidden="1" customHeight="1" outlineLevel="1">
      <c r="A167" s="9" t="s">
        <v>25</v>
      </c>
      <c r="B167" s="13" t="s">
        <v>26</v>
      </c>
      <c r="C167" s="9" t="s">
        <v>80</v>
      </c>
      <c r="D167" s="10">
        <v>20.0</v>
      </c>
      <c r="E167" s="11">
        <f t="shared" si="17"/>
        <v>16</v>
      </c>
      <c r="F167" s="7" t="s">
        <v>13</v>
      </c>
      <c r="G167" s="12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hidden="1" customHeight="1" outlineLevel="1">
      <c r="A168" s="9" t="s">
        <v>28</v>
      </c>
      <c r="B168" s="13" t="s">
        <v>29</v>
      </c>
      <c r="C168" s="9" t="s">
        <v>30</v>
      </c>
      <c r="D168" s="10">
        <v>40.0</v>
      </c>
      <c r="E168" s="11">
        <f t="shared" si="17"/>
        <v>32</v>
      </c>
      <c r="F168" s="7" t="s">
        <v>13</v>
      </c>
      <c r="G168" s="12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hidden="1" customHeight="1" outlineLevel="1">
      <c r="A169" s="9" t="s">
        <v>31</v>
      </c>
      <c r="B169" s="13" t="s">
        <v>32</v>
      </c>
      <c r="C169" s="9" t="s">
        <v>81</v>
      </c>
      <c r="D169" s="10">
        <v>60.0</v>
      </c>
      <c r="E169" s="11">
        <f t="shared" si="17"/>
        <v>48</v>
      </c>
      <c r="F169" s="7" t="s">
        <v>13</v>
      </c>
      <c r="G169" s="12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 collapsed="1">
      <c r="A170" s="15" t="s">
        <v>245</v>
      </c>
      <c r="B170" s="16"/>
      <c r="C170" s="16"/>
      <c r="D170" s="16"/>
      <c r="E170" s="16"/>
      <c r="F170" s="16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23" t="s">
        <v>246</v>
      </c>
      <c r="B171" s="24"/>
      <c r="C171" s="24"/>
      <c r="D171" s="24"/>
      <c r="E171" s="25"/>
      <c r="F171" s="24"/>
    </row>
    <row r="172" ht="15.75" customHeight="1">
      <c r="A172" s="9" t="s">
        <v>247</v>
      </c>
      <c r="B172" s="8" t="s">
        <v>248</v>
      </c>
      <c r="C172" s="9" t="s">
        <v>249</v>
      </c>
      <c r="D172" s="10">
        <v>19999.0</v>
      </c>
      <c r="E172" s="11">
        <f t="shared" ref="E172:E181" si="18">SUM(D172*0.8)</f>
        <v>15999.2</v>
      </c>
      <c r="F172" s="11">
        <f>SUM(D172*0.7)</f>
        <v>13999.3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hidden="1" customHeight="1" outlineLevel="1">
      <c r="A173" s="13" t="s">
        <v>250</v>
      </c>
      <c r="B173" s="13" t="s">
        <v>69</v>
      </c>
      <c r="C173" s="13" t="s">
        <v>251</v>
      </c>
      <c r="D173" s="10">
        <v>7029.0</v>
      </c>
      <c r="E173" s="11">
        <f t="shared" si="18"/>
        <v>5623.2</v>
      </c>
      <c r="F173" s="26" t="s">
        <v>13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hidden="1" customHeight="1" outlineLevel="2">
      <c r="A174" s="13" t="s">
        <v>252</v>
      </c>
      <c r="B174" s="13" t="s">
        <v>72</v>
      </c>
      <c r="C174" s="13" t="s">
        <v>251</v>
      </c>
      <c r="D174" s="10">
        <v>11949.0</v>
      </c>
      <c r="E174" s="11">
        <f t="shared" si="18"/>
        <v>9559.2</v>
      </c>
      <c r="F174" s="26" t="s">
        <v>13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hidden="1" customHeight="1" outlineLevel="2">
      <c r="A175" s="13" t="s">
        <v>253</v>
      </c>
      <c r="B175" s="13" t="s">
        <v>74</v>
      </c>
      <c r="C175" s="13" t="s">
        <v>251</v>
      </c>
      <c r="D175" s="10">
        <v>19681.0</v>
      </c>
      <c r="E175" s="11">
        <f t="shared" si="18"/>
        <v>15744.8</v>
      </c>
      <c r="F175" s="26" t="s">
        <v>13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hidden="1" customHeight="1" outlineLevel="2">
      <c r="A176" s="13" t="s">
        <v>135</v>
      </c>
      <c r="B176" s="13" t="s">
        <v>34</v>
      </c>
      <c r="C176" s="13" t="s">
        <v>254</v>
      </c>
      <c r="D176" s="10">
        <v>4999.0</v>
      </c>
      <c r="E176" s="11">
        <f t="shared" si="18"/>
        <v>3999.2</v>
      </c>
      <c r="F176" s="7" t="s">
        <v>13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hidden="1" customHeight="1" outlineLevel="2">
      <c r="A177" s="9" t="s">
        <v>255</v>
      </c>
      <c r="B177" s="9" t="s">
        <v>256</v>
      </c>
      <c r="C177" s="13" t="s">
        <v>257</v>
      </c>
      <c r="D177" s="10">
        <v>3600.0</v>
      </c>
      <c r="E177" s="11">
        <f t="shared" si="18"/>
        <v>2880</v>
      </c>
      <c r="F177" s="7" t="s">
        <v>13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hidden="1" customHeight="1" outlineLevel="2">
      <c r="A178" s="9" t="s">
        <v>258</v>
      </c>
      <c r="B178" s="9" t="s">
        <v>259</v>
      </c>
      <c r="C178" s="13" t="s">
        <v>257</v>
      </c>
      <c r="D178" s="10">
        <v>6800.0</v>
      </c>
      <c r="E178" s="11">
        <f t="shared" si="18"/>
        <v>5440</v>
      </c>
      <c r="F178" s="7" t="s">
        <v>13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hidden="1" customHeight="1" outlineLevel="2">
      <c r="A179" s="9" t="s">
        <v>25</v>
      </c>
      <c r="B179" s="13" t="s">
        <v>26</v>
      </c>
      <c r="C179" s="9" t="s">
        <v>80</v>
      </c>
      <c r="D179" s="10">
        <v>20.0</v>
      </c>
      <c r="E179" s="11">
        <f t="shared" si="18"/>
        <v>16</v>
      </c>
      <c r="F179" s="7" t="s">
        <v>13</v>
      </c>
      <c r="G179" s="12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hidden="1" customHeight="1" outlineLevel="2">
      <c r="A180" s="9" t="s">
        <v>28</v>
      </c>
      <c r="B180" s="13" t="s">
        <v>29</v>
      </c>
      <c r="C180" s="9" t="s">
        <v>30</v>
      </c>
      <c r="D180" s="10">
        <v>40.0</v>
      </c>
      <c r="E180" s="11">
        <f t="shared" si="18"/>
        <v>32</v>
      </c>
      <c r="F180" s="7" t="s">
        <v>13</v>
      </c>
      <c r="G180" s="12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hidden="1" customHeight="1" outlineLevel="2">
      <c r="A181" s="9" t="s">
        <v>31</v>
      </c>
      <c r="B181" s="13" t="s">
        <v>32</v>
      </c>
      <c r="C181" s="9" t="s">
        <v>81</v>
      </c>
      <c r="D181" s="10">
        <v>60.0</v>
      </c>
      <c r="E181" s="11">
        <f t="shared" si="18"/>
        <v>48</v>
      </c>
      <c r="F181" s="7" t="s">
        <v>13</v>
      </c>
      <c r="G181" s="12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 collapsed="1">
      <c r="A182" s="19" t="s">
        <v>260</v>
      </c>
      <c r="B182" s="27"/>
      <c r="C182" s="27"/>
      <c r="D182" s="27"/>
      <c r="E182" s="27"/>
      <c r="F182" s="27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9" t="s">
        <v>261</v>
      </c>
      <c r="B183" s="8" t="s">
        <v>262</v>
      </c>
      <c r="C183" s="13" t="s">
        <v>263</v>
      </c>
      <c r="D183" s="11">
        <v>4999.0</v>
      </c>
      <c r="E183" s="11">
        <f t="shared" ref="E183:E210" si="19">SUM(D183*0.8)</f>
        <v>3999.2</v>
      </c>
      <c r="F183" s="11">
        <f t="shared" ref="F183:F186" si="20">SUM(D183*0.7)</f>
        <v>3499.3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9" t="s">
        <v>264</v>
      </c>
      <c r="B184" s="8" t="s">
        <v>265</v>
      </c>
      <c r="C184" s="13" t="s">
        <v>266</v>
      </c>
      <c r="D184" s="11">
        <v>6499.0</v>
      </c>
      <c r="E184" s="11">
        <f t="shared" si="19"/>
        <v>5199.2</v>
      </c>
      <c r="F184" s="11">
        <f t="shared" si="20"/>
        <v>4549.3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9" t="s">
        <v>267</v>
      </c>
      <c r="B185" s="8" t="s">
        <v>268</v>
      </c>
      <c r="C185" s="13" t="s">
        <v>266</v>
      </c>
      <c r="D185" s="11">
        <v>6699.0</v>
      </c>
      <c r="E185" s="11">
        <f t="shared" si="19"/>
        <v>5359.2</v>
      </c>
      <c r="F185" s="11">
        <f t="shared" si="20"/>
        <v>4689.3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9" t="s">
        <v>269</v>
      </c>
      <c r="B186" s="8" t="s">
        <v>270</v>
      </c>
      <c r="C186" s="13" t="s">
        <v>266</v>
      </c>
      <c r="D186" s="11">
        <v>7099.0</v>
      </c>
      <c r="E186" s="11">
        <f t="shared" si="19"/>
        <v>5679.2</v>
      </c>
      <c r="F186" s="11">
        <f t="shared" si="20"/>
        <v>4969.3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hidden="1" customHeight="1" outlineLevel="1">
      <c r="A187" s="9" t="s">
        <v>271</v>
      </c>
      <c r="B187" s="9" t="s">
        <v>256</v>
      </c>
      <c r="C187" s="13" t="s">
        <v>272</v>
      </c>
      <c r="D187" s="10">
        <v>849.0</v>
      </c>
      <c r="E187" s="11">
        <f t="shared" si="19"/>
        <v>679.2</v>
      </c>
      <c r="F187" s="7" t="s">
        <v>13</v>
      </c>
      <c r="G187" s="18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hidden="1" customHeight="1" outlineLevel="1">
      <c r="A188" s="9" t="s">
        <v>273</v>
      </c>
      <c r="B188" s="9" t="s">
        <v>259</v>
      </c>
      <c r="C188" s="13" t="s">
        <v>272</v>
      </c>
      <c r="D188" s="10">
        <v>1649.0</v>
      </c>
      <c r="E188" s="11">
        <f t="shared" si="19"/>
        <v>1319.2</v>
      </c>
      <c r="F188" s="7" t="s">
        <v>13</v>
      </c>
      <c r="G188" s="18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hidden="1" customHeight="1" outlineLevel="1">
      <c r="A189" s="9" t="s">
        <v>274</v>
      </c>
      <c r="B189" s="13" t="s">
        <v>69</v>
      </c>
      <c r="C189" s="13" t="s">
        <v>275</v>
      </c>
      <c r="D189" s="10">
        <v>1259.0</v>
      </c>
      <c r="E189" s="11">
        <f t="shared" si="19"/>
        <v>1007.2</v>
      </c>
      <c r="F189" s="7" t="s">
        <v>13</v>
      </c>
      <c r="G189" s="18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hidden="1" customHeight="1" outlineLevel="1">
      <c r="A190" s="9" t="s">
        <v>276</v>
      </c>
      <c r="B190" s="13" t="s">
        <v>72</v>
      </c>
      <c r="C190" s="13" t="s">
        <v>277</v>
      </c>
      <c r="D190" s="10">
        <v>2140.0</v>
      </c>
      <c r="E190" s="11">
        <f t="shared" si="19"/>
        <v>1712</v>
      </c>
      <c r="F190" s="7" t="s">
        <v>13</v>
      </c>
      <c r="G190" s="18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hidden="1" customHeight="1" outlineLevel="1">
      <c r="A191" s="9" t="s">
        <v>278</v>
      </c>
      <c r="B191" s="13" t="s">
        <v>74</v>
      </c>
      <c r="C191" s="13" t="s">
        <v>277</v>
      </c>
      <c r="D191" s="10">
        <v>3525.0</v>
      </c>
      <c r="E191" s="11">
        <f t="shared" si="19"/>
        <v>2820</v>
      </c>
      <c r="F191" s="7" t="s">
        <v>13</v>
      </c>
      <c r="G191" s="18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hidden="1" customHeight="1" outlineLevel="1">
      <c r="A192" s="9" t="s">
        <v>279</v>
      </c>
      <c r="B192" s="9" t="s">
        <v>256</v>
      </c>
      <c r="C192" s="13" t="s">
        <v>280</v>
      </c>
      <c r="D192" s="10">
        <v>1109.0</v>
      </c>
      <c r="E192" s="11">
        <f t="shared" si="19"/>
        <v>887.2</v>
      </c>
      <c r="F192" s="7" t="s">
        <v>13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hidden="1" customHeight="1" outlineLevel="1">
      <c r="A193" s="9" t="s">
        <v>281</v>
      </c>
      <c r="B193" s="9" t="s">
        <v>259</v>
      </c>
      <c r="C193" s="13" t="s">
        <v>280</v>
      </c>
      <c r="D193" s="10">
        <v>2149.0</v>
      </c>
      <c r="E193" s="11">
        <f t="shared" si="19"/>
        <v>1719.2</v>
      </c>
      <c r="F193" s="7" t="s">
        <v>13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hidden="1" customHeight="1" outlineLevel="1">
      <c r="A194" s="13" t="s">
        <v>282</v>
      </c>
      <c r="B194" s="13" t="s">
        <v>69</v>
      </c>
      <c r="C194" s="13" t="s">
        <v>283</v>
      </c>
      <c r="D194" s="10">
        <v>1629.0</v>
      </c>
      <c r="E194" s="11">
        <f t="shared" si="19"/>
        <v>1303.2</v>
      </c>
      <c r="F194" s="7" t="s">
        <v>13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hidden="1" customHeight="1" outlineLevel="1">
      <c r="A195" s="13" t="s">
        <v>284</v>
      </c>
      <c r="B195" s="13" t="s">
        <v>72</v>
      </c>
      <c r="C195" s="13" t="s">
        <v>283</v>
      </c>
      <c r="D195" s="10">
        <v>2769.0</v>
      </c>
      <c r="E195" s="11">
        <f t="shared" si="19"/>
        <v>2215.2</v>
      </c>
      <c r="F195" s="7" t="s">
        <v>13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hidden="1" customHeight="1" outlineLevel="1">
      <c r="A196" s="13" t="s">
        <v>285</v>
      </c>
      <c r="B196" s="13" t="s">
        <v>74</v>
      </c>
      <c r="C196" s="13" t="s">
        <v>283</v>
      </c>
      <c r="D196" s="10">
        <v>4561.0</v>
      </c>
      <c r="E196" s="11">
        <f t="shared" si="19"/>
        <v>3648.8</v>
      </c>
      <c r="F196" s="7" t="s">
        <v>13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hidden="1" customHeight="1" outlineLevel="1">
      <c r="A197" s="9" t="s">
        <v>286</v>
      </c>
      <c r="B197" s="9" t="s">
        <v>256</v>
      </c>
      <c r="C197" s="13" t="s">
        <v>287</v>
      </c>
      <c r="D197" s="10">
        <v>1139.0</v>
      </c>
      <c r="E197" s="11">
        <f t="shared" si="19"/>
        <v>911.2</v>
      </c>
      <c r="F197" s="7" t="s">
        <v>13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hidden="1" customHeight="1" outlineLevel="1">
      <c r="A198" s="9" t="s">
        <v>288</v>
      </c>
      <c r="B198" s="9" t="s">
        <v>259</v>
      </c>
      <c r="C198" s="13" t="s">
        <v>287</v>
      </c>
      <c r="D198" s="10">
        <v>2219.0</v>
      </c>
      <c r="E198" s="11">
        <f t="shared" si="19"/>
        <v>1775.2</v>
      </c>
      <c r="F198" s="7" t="s">
        <v>13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hidden="1" customHeight="1" outlineLevel="1">
      <c r="A199" s="13" t="s">
        <v>289</v>
      </c>
      <c r="B199" s="13" t="s">
        <v>69</v>
      </c>
      <c r="C199" s="13" t="s">
        <v>290</v>
      </c>
      <c r="D199" s="10">
        <v>1679.0</v>
      </c>
      <c r="E199" s="11">
        <f t="shared" si="19"/>
        <v>1343.2</v>
      </c>
      <c r="F199" s="7" t="s">
        <v>13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hidden="1" customHeight="1" outlineLevel="1">
      <c r="A200" s="13" t="s">
        <v>291</v>
      </c>
      <c r="B200" s="13" t="s">
        <v>72</v>
      </c>
      <c r="C200" s="13" t="s">
        <v>290</v>
      </c>
      <c r="D200" s="10">
        <v>2854.0</v>
      </c>
      <c r="E200" s="11">
        <f t="shared" si="19"/>
        <v>2283.2</v>
      </c>
      <c r="F200" s="7" t="s">
        <v>13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hidden="1" customHeight="1" outlineLevel="1">
      <c r="A201" s="13" t="s">
        <v>292</v>
      </c>
      <c r="B201" s="13" t="s">
        <v>74</v>
      </c>
      <c r="C201" s="13" t="s">
        <v>290</v>
      </c>
      <c r="D201" s="10">
        <v>4701.0</v>
      </c>
      <c r="E201" s="11">
        <f t="shared" si="19"/>
        <v>3760.8</v>
      </c>
      <c r="F201" s="7" t="s">
        <v>13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hidden="1" customHeight="1" outlineLevel="1">
      <c r="A202" s="9" t="s">
        <v>293</v>
      </c>
      <c r="B202" s="9" t="s">
        <v>256</v>
      </c>
      <c r="C202" s="13" t="s">
        <v>294</v>
      </c>
      <c r="D202" s="10">
        <v>1207.0</v>
      </c>
      <c r="E202" s="11">
        <f t="shared" si="19"/>
        <v>965.6</v>
      </c>
      <c r="F202" s="7" t="s">
        <v>13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hidden="1" customHeight="1" outlineLevel="1">
      <c r="A203" s="9" t="s">
        <v>295</v>
      </c>
      <c r="B203" s="9" t="s">
        <v>259</v>
      </c>
      <c r="C203" s="13" t="s">
        <v>294</v>
      </c>
      <c r="D203" s="10">
        <v>2349.0</v>
      </c>
      <c r="E203" s="11">
        <f t="shared" si="19"/>
        <v>1879.2</v>
      </c>
      <c r="F203" s="7" t="s">
        <v>13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hidden="1" customHeight="1" outlineLevel="1">
      <c r="A204" s="13" t="s">
        <v>296</v>
      </c>
      <c r="B204" s="13" t="s">
        <v>69</v>
      </c>
      <c r="C204" s="13" t="s">
        <v>297</v>
      </c>
      <c r="D204" s="10">
        <v>1779.0</v>
      </c>
      <c r="E204" s="11">
        <f t="shared" si="19"/>
        <v>1423.2</v>
      </c>
      <c r="F204" s="7" t="s">
        <v>13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hidden="1" customHeight="1" outlineLevel="1">
      <c r="A205" s="13" t="s">
        <v>298</v>
      </c>
      <c r="B205" s="13" t="s">
        <v>72</v>
      </c>
      <c r="C205" s="13" t="s">
        <v>297</v>
      </c>
      <c r="D205" s="10">
        <v>3024.0</v>
      </c>
      <c r="E205" s="11">
        <f t="shared" si="19"/>
        <v>2419.2</v>
      </c>
      <c r="F205" s="7" t="s">
        <v>13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hidden="1" customHeight="1" outlineLevel="1">
      <c r="A206" s="13" t="s">
        <v>299</v>
      </c>
      <c r="B206" s="13" t="s">
        <v>74</v>
      </c>
      <c r="C206" s="13" t="s">
        <v>297</v>
      </c>
      <c r="D206" s="10">
        <v>4981.0</v>
      </c>
      <c r="E206" s="11">
        <f t="shared" si="19"/>
        <v>3984.8</v>
      </c>
      <c r="F206" s="7" t="s">
        <v>13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hidden="1" customHeight="1" outlineLevel="1">
      <c r="A207" s="9" t="s">
        <v>25</v>
      </c>
      <c r="B207" s="13" t="s">
        <v>26</v>
      </c>
      <c r="C207" s="9" t="s">
        <v>80</v>
      </c>
      <c r="D207" s="10">
        <v>20.0</v>
      </c>
      <c r="E207" s="11">
        <f t="shared" si="19"/>
        <v>16</v>
      </c>
      <c r="F207" s="7" t="s">
        <v>13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hidden="1" customHeight="1" outlineLevel="1">
      <c r="A208" s="9" t="s">
        <v>28</v>
      </c>
      <c r="B208" s="13" t="s">
        <v>29</v>
      </c>
      <c r="C208" s="9" t="s">
        <v>30</v>
      </c>
      <c r="D208" s="10">
        <v>40.0</v>
      </c>
      <c r="E208" s="11">
        <f t="shared" si="19"/>
        <v>32</v>
      </c>
      <c r="F208" s="7" t="s">
        <v>13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hidden="1" customHeight="1" outlineLevel="1">
      <c r="A209" s="9" t="s">
        <v>31</v>
      </c>
      <c r="B209" s="13" t="s">
        <v>32</v>
      </c>
      <c r="C209" s="9" t="s">
        <v>81</v>
      </c>
      <c r="D209" s="10">
        <v>60.0</v>
      </c>
      <c r="E209" s="11">
        <f t="shared" si="19"/>
        <v>48</v>
      </c>
      <c r="F209" s="7" t="s">
        <v>13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hidden="1" customHeight="1" outlineLevel="1">
      <c r="A210" s="7" t="s">
        <v>112</v>
      </c>
      <c r="B210" s="9" t="s">
        <v>34</v>
      </c>
      <c r="C210" s="13" t="s">
        <v>300</v>
      </c>
      <c r="D210" s="14">
        <v>2336.0</v>
      </c>
      <c r="E210" s="14">
        <f t="shared" si="19"/>
        <v>1868.8</v>
      </c>
      <c r="F210" s="10" t="s">
        <v>13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 collapsed="1">
      <c r="A211" s="19" t="s">
        <v>301</v>
      </c>
      <c r="B211" s="28"/>
      <c r="C211" s="28"/>
      <c r="D211" s="28"/>
      <c r="E211" s="28"/>
      <c r="F211" s="28"/>
    </row>
    <row r="212" ht="15.75" customHeight="1">
      <c r="A212" s="29" t="s">
        <v>302</v>
      </c>
      <c r="B212" s="30"/>
      <c r="C212" s="30"/>
      <c r="D212" s="30"/>
      <c r="E212" s="30"/>
      <c r="F212" s="30"/>
    </row>
    <row r="213" ht="15.75" customHeight="1">
      <c r="A213" s="12" t="s">
        <v>303</v>
      </c>
      <c r="B213" s="8" t="s">
        <v>304</v>
      </c>
      <c r="C213" s="9" t="s">
        <v>305</v>
      </c>
      <c r="D213" s="10">
        <v>2199.0</v>
      </c>
      <c r="E213" s="11">
        <f t="shared" ref="E213:E238" si="21">SUM(D213*0.8)</f>
        <v>1759.2</v>
      </c>
      <c r="F213" s="11">
        <f t="shared" ref="F213:F220" si="22">SUM(D213*0.7)</f>
        <v>1539.3</v>
      </c>
      <c r="G213" s="13"/>
    </row>
    <row r="214" ht="15.75" customHeight="1">
      <c r="A214" s="9" t="s">
        <v>306</v>
      </c>
      <c r="B214" s="8" t="s">
        <v>307</v>
      </c>
      <c r="C214" s="9" t="s">
        <v>308</v>
      </c>
      <c r="D214" s="10">
        <v>1499.0</v>
      </c>
      <c r="E214" s="11">
        <f t="shared" si="21"/>
        <v>1199.2</v>
      </c>
      <c r="F214" s="11">
        <f t="shared" si="22"/>
        <v>1049.3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9" t="s">
        <v>309</v>
      </c>
      <c r="B215" s="8" t="s">
        <v>310</v>
      </c>
      <c r="C215" s="9" t="s">
        <v>311</v>
      </c>
      <c r="D215" s="10">
        <v>1499.0</v>
      </c>
      <c r="E215" s="11">
        <f t="shared" si="21"/>
        <v>1199.2</v>
      </c>
      <c r="F215" s="11">
        <f t="shared" si="22"/>
        <v>1049.3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9" t="s">
        <v>312</v>
      </c>
      <c r="B216" s="8" t="s">
        <v>313</v>
      </c>
      <c r="C216" s="9" t="s">
        <v>314</v>
      </c>
      <c r="D216" s="10">
        <v>1499.0</v>
      </c>
      <c r="E216" s="11">
        <f t="shared" si="21"/>
        <v>1199.2</v>
      </c>
      <c r="F216" s="11">
        <f t="shared" si="22"/>
        <v>1049.3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9" t="s">
        <v>315</v>
      </c>
      <c r="B217" s="8" t="s">
        <v>316</v>
      </c>
      <c r="C217" s="9" t="s">
        <v>317</v>
      </c>
      <c r="D217" s="11">
        <v>1699.0</v>
      </c>
      <c r="E217" s="11">
        <f t="shared" si="21"/>
        <v>1359.2</v>
      </c>
      <c r="F217" s="11">
        <f t="shared" si="22"/>
        <v>1189.3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9" t="s">
        <v>318</v>
      </c>
      <c r="B218" s="8" t="s">
        <v>319</v>
      </c>
      <c r="C218" s="9" t="s">
        <v>320</v>
      </c>
      <c r="D218" s="10">
        <v>1999.0</v>
      </c>
      <c r="E218" s="11">
        <f t="shared" si="21"/>
        <v>1599.2</v>
      </c>
      <c r="F218" s="11">
        <f t="shared" si="22"/>
        <v>1399.3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9" t="s">
        <v>321</v>
      </c>
      <c r="B219" s="8" t="s">
        <v>322</v>
      </c>
      <c r="C219" s="9" t="s">
        <v>323</v>
      </c>
      <c r="D219" s="10">
        <v>2999.0</v>
      </c>
      <c r="E219" s="11">
        <f t="shared" si="21"/>
        <v>2399.2</v>
      </c>
      <c r="F219" s="11">
        <f t="shared" si="22"/>
        <v>2099.3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9" t="s">
        <v>324</v>
      </c>
      <c r="B220" s="8" t="s">
        <v>325</v>
      </c>
      <c r="C220" s="9" t="s">
        <v>326</v>
      </c>
      <c r="D220" s="10">
        <v>1899.0</v>
      </c>
      <c r="E220" s="11">
        <f t="shared" si="21"/>
        <v>1519.2</v>
      </c>
      <c r="F220" s="11">
        <f t="shared" si="22"/>
        <v>1329.3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hidden="1" customHeight="1" outlineLevel="1">
      <c r="A221" s="9" t="s">
        <v>327</v>
      </c>
      <c r="B221" s="9" t="s">
        <v>328</v>
      </c>
      <c r="C221" s="13" t="s">
        <v>329</v>
      </c>
      <c r="D221" s="10">
        <v>1499.0</v>
      </c>
      <c r="E221" s="11">
        <f t="shared" si="21"/>
        <v>1199.2</v>
      </c>
      <c r="F221" s="7" t="s">
        <v>13</v>
      </c>
      <c r="G221" s="18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hidden="1" customHeight="1" outlineLevel="1">
      <c r="A222" s="9" t="s">
        <v>330</v>
      </c>
      <c r="B222" s="9" t="s">
        <v>76</v>
      </c>
      <c r="C222" s="13" t="s">
        <v>331</v>
      </c>
      <c r="D222" s="10">
        <v>379.0</v>
      </c>
      <c r="E222" s="11">
        <f t="shared" si="21"/>
        <v>303.2</v>
      </c>
      <c r="F222" s="7" t="s">
        <v>13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hidden="1" customHeight="1" outlineLevel="1">
      <c r="A223" s="9" t="s">
        <v>332</v>
      </c>
      <c r="B223" s="9" t="s">
        <v>79</v>
      </c>
      <c r="C223" s="13" t="s">
        <v>331</v>
      </c>
      <c r="D223" s="10">
        <v>729.0</v>
      </c>
      <c r="E223" s="11">
        <f t="shared" si="21"/>
        <v>583.2</v>
      </c>
      <c r="F223" s="7" t="s">
        <v>13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hidden="1" customHeight="1" outlineLevel="1">
      <c r="A224" s="9" t="s">
        <v>333</v>
      </c>
      <c r="B224" s="9" t="s">
        <v>76</v>
      </c>
      <c r="C224" s="13" t="s">
        <v>334</v>
      </c>
      <c r="D224" s="10">
        <v>299.0</v>
      </c>
      <c r="E224" s="11">
        <f t="shared" si="21"/>
        <v>239.2</v>
      </c>
      <c r="F224" s="7" t="s">
        <v>13</v>
      </c>
    </row>
    <row r="225" ht="15.75" hidden="1" customHeight="1" outlineLevel="1">
      <c r="A225" s="9" t="s">
        <v>335</v>
      </c>
      <c r="B225" s="9" t="s">
        <v>79</v>
      </c>
      <c r="C225" s="13" t="s">
        <v>334</v>
      </c>
      <c r="D225" s="10">
        <v>589.0</v>
      </c>
      <c r="E225" s="11">
        <f t="shared" si="21"/>
        <v>471.2</v>
      </c>
      <c r="F225" s="7" t="s">
        <v>13</v>
      </c>
      <c r="G225" s="18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hidden="1" customHeight="1" outlineLevel="1">
      <c r="A226" s="9" t="s">
        <v>336</v>
      </c>
      <c r="B226" s="13" t="s">
        <v>69</v>
      </c>
      <c r="C226" s="13" t="s">
        <v>334</v>
      </c>
      <c r="D226" s="10">
        <v>369.0</v>
      </c>
      <c r="E226" s="11">
        <f t="shared" si="21"/>
        <v>295.2</v>
      </c>
      <c r="F226" s="10" t="s">
        <v>13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hidden="1" customHeight="1" outlineLevel="1">
      <c r="A227" s="9" t="s">
        <v>337</v>
      </c>
      <c r="B227" s="13" t="s">
        <v>72</v>
      </c>
      <c r="C227" s="13" t="s">
        <v>334</v>
      </c>
      <c r="D227" s="10">
        <v>627.0</v>
      </c>
      <c r="E227" s="11">
        <f t="shared" si="21"/>
        <v>501.6</v>
      </c>
      <c r="F227" s="10" t="s">
        <v>13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hidden="1" customHeight="1" outlineLevel="1">
      <c r="A228" s="9" t="s">
        <v>338</v>
      </c>
      <c r="B228" s="13" t="s">
        <v>74</v>
      </c>
      <c r="C228" s="13" t="s">
        <v>334</v>
      </c>
      <c r="D228" s="10">
        <v>1033.0</v>
      </c>
      <c r="E228" s="11">
        <f t="shared" si="21"/>
        <v>826.4</v>
      </c>
      <c r="F228" s="10" t="s">
        <v>13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hidden="1" customHeight="1" outlineLevel="1">
      <c r="A229" s="9" t="s">
        <v>339</v>
      </c>
      <c r="B229" s="9" t="s">
        <v>76</v>
      </c>
      <c r="C229" s="13" t="s">
        <v>340</v>
      </c>
      <c r="D229" s="10">
        <v>509.0</v>
      </c>
      <c r="E229" s="11">
        <f t="shared" si="21"/>
        <v>407.2</v>
      </c>
      <c r="F229" s="10" t="s">
        <v>13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hidden="1" customHeight="1" outlineLevel="1">
      <c r="A230" s="9" t="s">
        <v>341</v>
      </c>
      <c r="B230" s="9" t="s">
        <v>79</v>
      </c>
      <c r="C230" s="13" t="s">
        <v>340</v>
      </c>
      <c r="D230" s="10">
        <v>989.0</v>
      </c>
      <c r="E230" s="11">
        <f t="shared" si="21"/>
        <v>791.2</v>
      </c>
      <c r="F230" s="10" t="s">
        <v>13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hidden="1" customHeight="1" outlineLevel="1">
      <c r="A231" s="13" t="s">
        <v>342</v>
      </c>
      <c r="B231" s="13" t="s">
        <v>69</v>
      </c>
      <c r="C231" s="13" t="s">
        <v>340</v>
      </c>
      <c r="D231" s="10">
        <v>749.0</v>
      </c>
      <c r="E231" s="11">
        <f t="shared" si="21"/>
        <v>599.2</v>
      </c>
      <c r="F231" s="10" t="s">
        <v>13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hidden="1" customHeight="1" outlineLevel="1">
      <c r="A232" s="13" t="s">
        <v>343</v>
      </c>
      <c r="B232" s="13" t="s">
        <v>72</v>
      </c>
      <c r="C232" s="13" t="s">
        <v>340</v>
      </c>
      <c r="D232" s="10">
        <v>1273.0</v>
      </c>
      <c r="E232" s="11">
        <f t="shared" si="21"/>
        <v>1018.4</v>
      </c>
      <c r="F232" s="10" t="s">
        <v>13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hidden="1" customHeight="1" outlineLevel="1">
      <c r="A233" s="13" t="s">
        <v>344</v>
      </c>
      <c r="B233" s="13" t="s">
        <v>74</v>
      </c>
      <c r="C233" s="13" t="s">
        <v>340</v>
      </c>
      <c r="D233" s="10">
        <v>2097.0</v>
      </c>
      <c r="E233" s="11">
        <f t="shared" si="21"/>
        <v>1677.6</v>
      </c>
      <c r="F233" s="10" t="s">
        <v>13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hidden="1" customHeight="1" outlineLevel="1">
      <c r="A234" s="9" t="s">
        <v>345</v>
      </c>
      <c r="B234" s="9" t="s">
        <v>76</v>
      </c>
      <c r="C234" s="13" t="s">
        <v>346</v>
      </c>
      <c r="D234" s="10">
        <v>359.0</v>
      </c>
      <c r="E234" s="11">
        <f t="shared" si="21"/>
        <v>287.2</v>
      </c>
      <c r="F234" s="7" t="s">
        <v>13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hidden="1" customHeight="1" outlineLevel="1">
      <c r="A235" s="9" t="s">
        <v>347</v>
      </c>
      <c r="B235" s="9" t="s">
        <v>79</v>
      </c>
      <c r="C235" s="13" t="s">
        <v>346</v>
      </c>
      <c r="D235" s="10">
        <v>659.0</v>
      </c>
      <c r="E235" s="11">
        <f t="shared" si="21"/>
        <v>527.2</v>
      </c>
      <c r="F235" s="7" t="s">
        <v>13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hidden="1" customHeight="1" outlineLevel="1">
      <c r="A236" s="9" t="s">
        <v>348</v>
      </c>
      <c r="B236" s="13" t="s">
        <v>69</v>
      </c>
      <c r="C236" s="13" t="s">
        <v>346</v>
      </c>
      <c r="D236" s="10">
        <v>469.0</v>
      </c>
      <c r="E236" s="11">
        <f t="shared" si="21"/>
        <v>375.2</v>
      </c>
      <c r="F236" s="7" t="s">
        <v>13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hidden="1" customHeight="1" outlineLevel="1">
      <c r="A237" s="9" t="s">
        <v>349</v>
      </c>
      <c r="B237" s="13" t="s">
        <v>72</v>
      </c>
      <c r="C237" s="13" t="s">
        <v>346</v>
      </c>
      <c r="D237" s="10">
        <v>797.0</v>
      </c>
      <c r="E237" s="11">
        <f t="shared" si="21"/>
        <v>637.6</v>
      </c>
      <c r="F237" s="7" t="s">
        <v>13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hidden="1" customHeight="1" outlineLevel="1">
      <c r="A238" s="9" t="s">
        <v>350</v>
      </c>
      <c r="B238" s="13" t="s">
        <v>74</v>
      </c>
      <c r="C238" s="13" t="s">
        <v>346</v>
      </c>
      <c r="D238" s="10">
        <v>1313.0</v>
      </c>
      <c r="E238" s="11">
        <f t="shared" si="21"/>
        <v>1050.4</v>
      </c>
      <c r="F238" s="7" t="s">
        <v>13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 collapsed="1">
      <c r="A239" s="15" t="s">
        <v>351</v>
      </c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23" t="s">
        <v>352</v>
      </c>
      <c r="B240" s="23"/>
      <c r="C240" s="23"/>
      <c r="D240" s="23"/>
      <c r="E240" s="29"/>
      <c r="F240" s="23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7" t="s">
        <v>353</v>
      </c>
      <c r="B241" s="8" t="s">
        <v>354</v>
      </c>
      <c r="C241" s="9" t="s">
        <v>47</v>
      </c>
      <c r="D241" s="10">
        <v>2899.0</v>
      </c>
      <c r="E241" s="11">
        <f t="shared" ref="E241:E261" si="23">SUM(D241*0.8)</f>
        <v>2319.2</v>
      </c>
      <c r="F241" s="11">
        <f t="shared" ref="F241:F243" si="24">SUM(D241*0.7)</f>
        <v>2029.3</v>
      </c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7" t="s">
        <v>355</v>
      </c>
      <c r="B242" s="8" t="s">
        <v>356</v>
      </c>
      <c r="C242" s="9" t="s">
        <v>357</v>
      </c>
      <c r="D242" s="10">
        <v>2999.0</v>
      </c>
      <c r="E242" s="11">
        <f t="shared" si="23"/>
        <v>2399.2</v>
      </c>
      <c r="F242" s="11">
        <f t="shared" si="24"/>
        <v>2099.3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7" t="s">
        <v>358</v>
      </c>
      <c r="B243" s="8" t="s">
        <v>359</v>
      </c>
      <c r="C243" s="9" t="s">
        <v>360</v>
      </c>
      <c r="D243" s="10">
        <v>3999.0</v>
      </c>
      <c r="E243" s="11">
        <f t="shared" si="23"/>
        <v>3199.2</v>
      </c>
      <c r="F243" s="11">
        <f t="shared" si="24"/>
        <v>2799.3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hidden="1" customHeight="1" outlineLevel="1">
      <c r="A244" s="13" t="s">
        <v>361</v>
      </c>
      <c r="B244" s="13" t="s">
        <v>69</v>
      </c>
      <c r="C244" s="9" t="s">
        <v>362</v>
      </c>
      <c r="D244" s="10">
        <v>719.0</v>
      </c>
      <c r="E244" s="11">
        <f t="shared" si="23"/>
        <v>575.2</v>
      </c>
      <c r="F244" s="10" t="s">
        <v>13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hidden="1" customHeight="1" outlineLevel="1">
      <c r="A245" s="13" t="s">
        <v>363</v>
      </c>
      <c r="B245" s="13" t="s">
        <v>72</v>
      </c>
      <c r="C245" s="9" t="s">
        <v>362</v>
      </c>
      <c r="D245" s="10">
        <v>1222.0</v>
      </c>
      <c r="E245" s="11">
        <f t="shared" si="23"/>
        <v>977.6</v>
      </c>
      <c r="F245" s="10" t="s">
        <v>13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hidden="1" customHeight="1" outlineLevel="1">
      <c r="A246" s="13" t="s">
        <v>364</v>
      </c>
      <c r="B246" s="13" t="s">
        <v>74</v>
      </c>
      <c r="C246" s="9" t="s">
        <v>362</v>
      </c>
      <c r="D246" s="10">
        <v>2013.0</v>
      </c>
      <c r="E246" s="11">
        <f t="shared" si="23"/>
        <v>1610.4</v>
      </c>
      <c r="F246" s="10" t="s">
        <v>13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hidden="1" customHeight="1" outlineLevel="1">
      <c r="A247" s="7" t="s">
        <v>365</v>
      </c>
      <c r="B247" s="9" t="s">
        <v>76</v>
      </c>
      <c r="C247" s="9" t="s">
        <v>366</v>
      </c>
      <c r="D247" s="10">
        <v>499.0</v>
      </c>
      <c r="E247" s="11">
        <f t="shared" si="23"/>
        <v>399.2</v>
      </c>
      <c r="F247" s="10" t="s">
        <v>13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hidden="1" customHeight="1" outlineLevel="1">
      <c r="A248" s="7" t="s">
        <v>367</v>
      </c>
      <c r="B248" s="9" t="s">
        <v>79</v>
      </c>
      <c r="C248" s="9" t="s">
        <v>366</v>
      </c>
      <c r="D248" s="10">
        <v>959.0</v>
      </c>
      <c r="E248" s="11">
        <f t="shared" si="23"/>
        <v>767.2</v>
      </c>
      <c r="F248" s="10" t="s">
        <v>13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hidden="1" customHeight="1" outlineLevel="1">
      <c r="A249" s="13" t="s">
        <v>368</v>
      </c>
      <c r="B249" s="13" t="s">
        <v>69</v>
      </c>
      <c r="C249" s="13" t="s">
        <v>369</v>
      </c>
      <c r="D249" s="10">
        <v>969.0</v>
      </c>
      <c r="E249" s="11">
        <f t="shared" si="23"/>
        <v>775.2</v>
      </c>
      <c r="F249" s="10" t="s">
        <v>13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hidden="1" customHeight="1" outlineLevel="1">
      <c r="A250" s="13" t="s">
        <v>370</v>
      </c>
      <c r="B250" s="13" t="s">
        <v>72</v>
      </c>
      <c r="C250" s="13" t="s">
        <v>369</v>
      </c>
      <c r="D250" s="10">
        <v>1647.0</v>
      </c>
      <c r="E250" s="11">
        <f t="shared" si="23"/>
        <v>1317.6</v>
      </c>
      <c r="F250" s="10" t="s">
        <v>13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hidden="1" customHeight="1" outlineLevel="1">
      <c r="A251" s="13" t="s">
        <v>371</v>
      </c>
      <c r="B251" s="13" t="s">
        <v>74</v>
      </c>
      <c r="C251" s="13" t="s">
        <v>369</v>
      </c>
      <c r="D251" s="10">
        <v>2713.0</v>
      </c>
      <c r="E251" s="11">
        <f t="shared" si="23"/>
        <v>2170.4</v>
      </c>
      <c r="F251" s="10" t="s">
        <v>13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hidden="1" customHeight="1" outlineLevel="1">
      <c r="A252" s="7" t="s">
        <v>372</v>
      </c>
      <c r="B252" s="9" t="s">
        <v>256</v>
      </c>
      <c r="C252" s="13" t="s">
        <v>373</v>
      </c>
      <c r="D252" s="14">
        <v>649.0</v>
      </c>
      <c r="E252" s="14">
        <f t="shared" si="23"/>
        <v>519.2</v>
      </c>
      <c r="F252" s="10" t="s">
        <v>13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hidden="1" customHeight="1" outlineLevel="1">
      <c r="A253" s="7" t="s">
        <v>374</v>
      </c>
      <c r="B253" s="9" t="s">
        <v>259</v>
      </c>
      <c r="C253" s="13" t="s">
        <v>373</v>
      </c>
      <c r="D253" s="14">
        <v>1279.0</v>
      </c>
      <c r="E253" s="14">
        <f t="shared" si="23"/>
        <v>1023.2</v>
      </c>
      <c r="F253" s="10" t="s">
        <v>13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hidden="1" customHeight="1" outlineLevel="1">
      <c r="A254" s="9" t="s">
        <v>25</v>
      </c>
      <c r="B254" s="13" t="s">
        <v>26</v>
      </c>
      <c r="C254" s="9" t="s">
        <v>80</v>
      </c>
      <c r="D254" s="10">
        <v>20.0</v>
      </c>
      <c r="E254" s="11">
        <f t="shared" si="23"/>
        <v>16</v>
      </c>
      <c r="F254" s="7" t="s">
        <v>13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hidden="1" customHeight="1" outlineLevel="1">
      <c r="A255" s="9" t="s">
        <v>28</v>
      </c>
      <c r="B255" s="13" t="s">
        <v>29</v>
      </c>
      <c r="C255" s="9" t="s">
        <v>30</v>
      </c>
      <c r="D255" s="10">
        <v>40.0</v>
      </c>
      <c r="E255" s="11">
        <f t="shared" si="23"/>
        <v>32</v>
      </c>
      <c r="F255" s="7" t="s">
        <v>13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hidden="1" customHeight="1" outlineLevel="1">
      <c r="A256" s="9" t="s">
        <v>31</v>
      </c>
      <c r="B256" s="13" t="s">
        <v>32</v>
      </c>
      <c r="C256" s="9" t="s">
        <v>81</v>
      </c>
      <c r="D256" s="10">
        <v>60.0</v>
      </c>
      <c r="E256" s="11">
        <f t="shared" si="23"/>
        <v>48</v>
      </c>
      <c r="F256" s="7" t="s">
        <v>13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hidden="1" customHeight="1" outlineLevel="1">
      <c r="A257" s="13" t="s">
        <v>33</v>
      </c>
      <c r="B257" s="13" t="s">
        <v>375</v>
      </c>
      <c r="C257" s="13" t="s">
        <v>376</v>
      </c>
      <c r="D257" s="10">
        <v>200.0</v>
      </c>
      <c r="E257" s="11">
        <f t="shared" si="23"/>
        <v>160</v>
      </c>
      <c r="F257" s="7" t="s">
        <v>13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hidden="1" customHeight="1" outlineLevel="1">
      <c r="A258" s="13" t="s">
        <v>36</v>
      </c>
      <c r="B258" s="13" t="s">
        <v>108</v>
      </c>
      <c r="C258" s="13" t="s">
        <v>376</v>
      </c>
      <c r="D258" s="10">
        <v>400.0</v>
      </c>
      <c r="E258" s="11">
        <f t="shared" si="23"/>
        <v>320</v>
      </c>
      <c r="F258" s="7" t="s">
        <v>13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hidden="1" customHeight="1" outlineLevel="1">
      <c r="A259" s="13" t="s">
        <v>38</v>
      </c>
      <c r="B259" s="13" t="s">
        <v>110</v>
      </c>
      <c r="C259" s="13" t="s">
        <v>376</v>
      </c>
      <c r="D259" s="10">
        <v>600.0</v>
      </c>
      <c r="E259" s="11">
        <f t="shared" si="23"/>
        <v>480</v>
      </c>
      <c r="F259" s="7" t="s">
        <v>13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hidden="1" customHeight="1" outlineLevel="1">
      <c r="A260" s="7" t="s">
        <v>112</v>
      </c>
      <c r="B260" s="9" t="s">
        <v>34</v>
      </c>
      <c r="C260" s="13" t="s">
        <v>300</v>
      </c>
      <c r="D260" s="14">
        <v>2336.0</v>
      </c>
      <c r="E260" s="14">
        <f t="shared" si="23"/>
        <v>1868.8</v>
      </c>
      <c r="F260" s="10" t="s">
        <v>13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hidden="1" customHeight="1" outlineLevel="1">
      <c r="A261" s="7" t="s">
        <v>377</v>
      </c>
      <c r="B261" s="9" t="s">
        <v>215</v>
      </c>
      <c r="C261" s="9" t="s">
        <v>378</v>
      </c>
      <c r="D261" s="10">
        <v>999.0</v>
      </c>
      <c r="E261" s="11">
        <f t="shared" si="23"/>
        <v>799.2</v>
      </c>
      <c r="F261" s="10" t="s">
        <v>13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 collapsed="1">
      <c r="A262" s="19" t="s">
        <v>379</v>
      </c>
      <c r="B262" s="32"/>
      <c r="C262" s="32"/>
      <c r="D262" s="33"/>
      <c r="E262" s="34"/>
      <c r="F262" s="34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7" t="s">
        <v>380</v>
      </c>
      <c r="B263" s="8" t="s">
        <v>381</v>
      </c>
      <c r="C263" s="9" t="s">
        <v>61</v>
      </c>
      <c r="D263" s="10">
        <v>4999.0</v>
      </c>
      <c r="E263" s="11">
        <f t="shared" ref="E263:E272" si="25">SUM(D263*0.8)</f>
        <v>3999.2</v>
      </c>
      <c r="F263" s="11">
        <f>SUM(D263*0.7)</f>
        <v>3499.3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hidden="1" customHeight="1" outlineLevel="1">
      <c r="A264" s="9" t="s">
        <v>65</v>
      </c>
      <c r="B264" s="9" t="s">
        <v>66</v>
      </c>
      <c r="C264" s="9" t="s">
        <v>67</v>
      </c>
      <c r="D264" s="10">
        <v>999.0</v>
      </c>
      <c r="E264" s="11">
        <f t="shared" si="25"/>
        <v>799.2</v>
      </c>
      <c r="F264" s="7" t="s">
        <v>13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hidden="1" customHeight="1" outlineLevel="1">
      <c r="A265" s="13" t="s">
        <v>382</v>
      </c>
      <c r="B265" s="13" t="s">
        <v>69</v>
      </c>
      <c r="C265" s="9" t="s">
        <v>383</v>
      </c>
      <c r="D265" s="10">
        <v>1250.0</v>
      </c>
      <c r="E265" s="11">
        <f t="shared" si="25"/>
        <v>1000</v>
      </c>
      <c r="F265" s="7" t="s">
        <v>13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hidden="1" customHeight="1" outlineLevel="1">
      <c r="A266" s="13" t="s">
        <v>384</v>
      </c>
      <c r="B266" s="13" t="s">
        <v>72</v>
      </c>
      <c r="C266" s="9" t="s">
        <v>383</v>
      </c>
      <c r="D266" s="10">
        <v>2125.0</v>
      </c>
      <c r="E266" s="11">
        <f t="shared" si="25"/>
        <v>1700</v>
      </c>
      <c r="F266" s="7" t="s">
        <v>13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hidden="1" customHeight="1" outlineLevel="1">
      <c r="A267" s="13" t="s">
        <v>385</v>
      </c>
      <c r="B267" s="13" t="s">
        <v>74</v>
      </c>
      <c r="C267" s="9" t="s">
        <v>383</v>
      </c>
      <c r="D267" s="10">
        <v>3500.0</v>
      </c>
      <c r="E267" s="11">
        <f t="shared" si="25"/>
        <v>2800</v>
      </c>
      <c r="F267" s="7" t="s">
        <v>13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hidden="1" customHeight="1" outlineLevel="1">
      <c r="A268" s="7" t="s">
        <v>386</v>
      </c>
      <c r="B268" s="9" t="s">
        <v>76</v>
      </c>
      <c r="C268" s="9" t="s">
        <v>387</v>
      </c>
      <c r="D268" s="10">
        <v>849.0</v>
      </c>
      <c r="E268" s="11">
        <f t="shared" si="25"/>
        <v>679.2</v>
      </c>
      <c r="F268" s="7" t="s">
        <v>13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hidden="1" customHeight="1" outlineLevel="1">
      <c r="A269" s="7" t="s">
        <v>388</v>
      </c>
      <c r="B269" s="9" t="s">
        <v>79</v>
      </c>
      <c r="C269" s="9" t="s">
        <v>387</v>
      </c>
      <c r="D269" s="10">
        <v>1649.0</v>
      </c>
      <c r="E269" s="11">
        <f t="shared" si="25"/>
        <v>1319.2</v>
      </c>
      <c r="F269" s="7" t="s">
        <v>13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hidden="1" customHeight="1" outlineLevel="1">
      <c r="A270" s="9" t="s">
        <v>25</v>
      </c>
      <c r="B270" s="13" t="s">
        <v>26</v>
      </c>
      <c r="C270" s="9" t="s">
        <v>80</v>
      </c>
      <c r="D270" s="10">
        <v>20.0</v>
      </c>
      <c r="E270" s="11">
        <f t="shared" si="25"/>
        <v>16</v>
      </c>
      <c r="F270" s="7" t="s">
        <v>13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hidden="1" customHeight="1" outlineLevel="1">
      <c r="A271" s="9" t="s">
        <v>28</v>
      </c>
      <c r="B271" s="13" t="s">
        <v>29</v>
      </c>
      <c r="C271" s="9" t="s">
        <v>30</v>
      </c>
      <c r="D271" s="10">
        <v>40.0</v>
      </c>
      <c r="E271" s="11">
        <f t="shared" si="25"/>
        <v>32</v>
      </c>
      <c r="F271" s="7" t="s">
        <v>13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hidden="1" customHeight="1" outlineLevel="1">
      <c r="A272" s="9" t="s">
        <v>31</v>
      </c>
      <c r="B272" s="13" t="s">
        <v>32</v>
      </c>
      <c r="C272" s="9" t="s">
        <v>81</v>
      </c>
      <c r="D272" s="10">
        <v>60.0</v>
      </c>
      <c r="E272" s="11">
        <f t="shared" si="25"/>
        <v>48</v>
      </c>
      <c r="F272" s="7" t="s">
        <v>13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 collapsed="1">
      <c r="A273" s="15" t="s">
        <v>389</v>
      </c>
      <c r="B273" s="16"/>
      <c r="C273" s="16"/>
      <c r="D273" s="16"/>
      <c r="E273" s="16"/>
      <c r="F273" s="16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29" t="s">
        <v>390</v>
      </c>
      <c r="B274" s="29"/>
      <c r="C274" s="29"/>
      <c r="D274" s="29"/>
      <c r="E274" s="29"/>
      <c r="F274" s="29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9" t="s">
        <v>391</v>
      </c>
      <c r="B275" s="8" t="s">
        <v>392</v>
      </c>
      <c r="C275" s="9" t="s">
        <v>393</v>
      </c>
      <c r="D275" s="10">
        <v>399.0</v>
      </c>
      <c r="E275" s="11">
        <f t="shared" ref="E275:E290" si="26">SUM(D275*0.8)</f>
        <v>319.2</v>
      </c>
      <c r="F275" s="10" t="s">
        <v>13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9" t="s">
        <v>394</v>
      </c>
      <c r="B276" s="8" t="s">
        <v>395</v>
      </c>
      <c r="C276" s="9" t="s">
        <v>396</v>
      </c>
      <c r="D276" s="10">
        <v>399.0</v>
      </c>
      <c r="E276" s="11">
        <f t="shared" si="26"/>
        <v>319.2</v>
      </c>
      <c r="F276" s="10" t="s">
        <v>13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9" t="s">
        <v>397</v>
      </c>
      <c r="B277" s="8" t="s">
        <v>398</v>
      </c>
      <c r="C277" s="9" t="s">
        <v>399</v>
      </c>
      <c r="D277" s="10">
        <v>499.0</v>
      </c>
      <c r="E277" s="11">
        <f t="shared" si="26"/>
        <v>399.2</v>
      </c>
      <c r="F277" s="10" t="s">
        <v>13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9" t="s">
        <v>400</v>
      </c>
      <c r="B278" s="8" t="s">
        <v>401</v>
      </c>
      <c r="C278" s="9" t="s">
        <v>402</v>
      </c>
      <c r="D278" s="10">
        <v>199.0</v>
      </c>
      <c r="E278" s="11">
        <f t="shared" si="26"/>
        <v>159.2</v>
      </c>
      <c r="F278" s="10" t="s">
        <v>13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9" t="s">
        <v>403</v>
      </c>
      <c r="B279" s="8" t="s">
        <v>404</v>
      </c>
      <c r="C279" s="9" t="s">
        <v>405</v>
      </c>
      <c r="D279" s="10">
        <v>699.0</v>
      </c>
      <c r="E279" s="11">
        <f t="shared" si="26"/>
        <v>559.2</v>
      </c>
      <c r="F279" s="10" t="s">
        <v>13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9" t="s">
        <v>406</v>
      </c>
      <c r="B280" s="8" t="s">
        <v>407</v>
      </c>
      <c r="C280" s="9" t="s">
        <v>408</v>
      </c>
      <c r="D280" s="10">
        <v>349.0</v>
      </c>
      <c r="E280" s="11">
        <f t="shared" si="26"/>
        <v>279.2</v>
      </c>
      <c r="F280" s="10" t="s">
        <v>13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hidden="1" customHeight="1" outlineLevel="1">
      <c r="A281" s="9" t="s">
        <v>409</v>
      </c>
      <c r="B281" s="9" t="s">
        <v>256</v>
      </c>
      <c r="C281" s="9" t="s">
        <v>410</v>
      </c>
      <c r="D281" s="10">
        <v>89.0</v>
      </c>
      <c r="E281" s="11">
        <f t="shared" si="26"/>
        <v>71.2</v>
      </c>
      <c r="F281" s="10" t="s">
        <v>13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hidden="1" customHeight="1" outlineLevel="1">
      <c r="A282" s="9" t="s">
        <v>411</v>
      </c>
      <c r="B282" s="9" t="s">
        <v>259</v>
      </c>
      <c r="C282" s="9" t="s">
        <v>410</v>
      </c>
      <c r="D282" s="10">
        <v>169.0</v>
      </c>
      <c r="E282" s="11">
        <f t="shared" si="26"/>
        <v>135.2</v>
      </c>
      <c r="F282" s="10" t="s">
        <v>13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hidden="1" customHeight="1" outlineLevel="1">
      <c r="A283" s="9" t="s">
        <v>412</v>
      </c>
      <c r="B283" s="9" t="s">
        <v>256</v>
      </c>
      <c r="C283" s="13" t="s">
        <v>413</v>
      </c>
      <c r="D283" s="10">
        <v>119.0</v>
      </c>
      <c r="E283" s="11">
        <f t="shared" si="26"/>
        <v>95.2</v>
      </c>
      <c r="F283" s="10" t="s">
        <v>13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hidden="1" customHeight="1" outlineLevel="1">
      <c r="A284" s="9" t="s">
        <v>414</v>
      </c>
      <c r="B284" s="9" t="s">
        <v>259</v>
      </c>
      <c r="C284" s="13" t="s">
        <v>413</v>
      </c>
      <c r="D284" s="10">
        <v>229.0</v>
      </c>
      <c r="E284" s="11">
        <f t="shared" si="26"/>
        <v>183.2</v>
      </c>
      <c r="F284" s="10" t="s">
        <v>13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hidden="1" customHeight="1" outlineLevel="1">
      <c r="A285" s="13" t="s">
        <v>415</v>
      </c>
      <c r="B285" s="9" t="s">
        <v>69</v>
      </c>
      <c r="C285" s="13" t="s">
        <v>416</v>
      </c>
      <c r="D285" s="10">
        <v>129.0</v>
      </c>
      <c r="E285" s="11">
        <f t="shared" si="26"/>
        <v>103.2</v>
      </c>
      <c r="F285" s="7" t="s">
        <v>13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hidden="1" customHeight="1" outlineLevel="1">
      <c r="A286" s="13" t="s">
        <v>417</v>
      </c>
      <c r="B286" s="9" t="s">
        <v>72</v>
      </c>
      <c r="C286" s="13" t="s">
        <v>416</v>
      </c>
      <c r="D286" s="10">
        <v>220.0</v>
      </c>
      <c r="E286" s="11">
        <f t="shared" si="26"/>
        <v>176</v>
      </c>
      <c r="F286" s="7" t="s">
        <v>13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hidden="1" customHeight="1" outlineLevel="1">
      <c r="A287" s="13" t="s">
        <v>418</v>
      </c>
      <c r="B287" s="9" t="s">
        <v>74</v>
      </c>
      <c r="C287" s="13" t="s">
        <v>416</v>
      </c>
      <c r="D287" s="10">
        <v>362.0</v>
      </c>
      <c r="E287" s="11">
        <f t="shared" si="26"/>
        <v>289.6</v>
      </c>
      <c r="F287" s="7" t="s">
        <v>13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hidden="1" customHeight="1" outlineLevel="1">
      <c r="A288" s="13" t="s">
        <v>419</v>
      </c>
      <c r="B288" s="9" t="s">
        <v>69</v>
      </c>
      <c r="C288" s="13" t="s">
        <v>420</v>
      </c>
      <c r="D288" s="10">
        <v>199.0</v>
      </c>
      <c r="E288" s="11">
        <f t="shared" si="26"/>
        <v>159.2</v>
      </c>
      <c r="F288" s="7" t="s">
        <v>13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hidden="1" customHeight="1" outlineLevel="1">
      <c r="A289" s="13" t="s">
        <v>421</v>
      </c>
      <c r="B289" s="9" t="s">
        <v>72</v>
      </c>
      <c r="C289" s="13" t="s">
        <v>420</v>
      </c>
      <c r="D289" s="10">
        <v>339.0</v>
      </c>
      <c r="E289" s="11">
        <f t="shared" si="26"/>
        <v>271.2</v>
      </c>
      <c r="F289" s="7" t="s">
        <v>13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hidden="1" customHeight="1" outlineLevel="1">
      <c r="A290" s="13" t="s">
        <v>422</v>
      </c>
      <c r="B290" s="9" t="s">
        <v>74</v>
      </c>
      <c r="C290" s="13" t="s">
        <v>420</v>
      </c>
      <c r="D290" s="10">
        <v>558.0</v>
      </c>
      <c r="E290" s="11">
        <f t="shared" si="26"/>
        <v>446.4</v>
      </c>
      <c r="F290" s="7" t="s">
        <v>13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 collapsed="1">
      <c r="A291" s="19" t="s">
        <v>423</v>
      </c>
      <c r="B291" s="35"/>
      <c r="C291" s="31"/>
      <c r="D291" s="36"/>
      <c r="E291" s="37"/>
      <c r="F291" s="36"/>
    </row>
    <row r="292" ht="15.75" customHeight="1">
      <c r="A292" s="23" t="s">
        <v>424</v>
      </c>
      <c r="B292" s="24"/>
      <c r="C292" s="24"/>
      <c r="D292" s="24"/>
      <c r="E292" s="25"/>
      <c r="F292" s="24"/>
    </row>
    <row r="293" ht="15.75" customHeight="1">
      <c r="A293" s="9" t="s">
        <v>425</v>
      </c>
      <c r="B293" s="8" t="s">
        <v>426</v>
      </c>
      <c r="C293" s="9" t="s">
        <v>427</v>
      </c>
      <c r="D293" s="10">
        <v>349.0</v>
      </c>
      <c r="E293" s="11">
        <f t="shared" ref="E293:E316" si="27">SUM(D293*0.8)</f>
        <v>279.2</v>
      </c>
      <c r="F293" s="11">
        <f t="shared" ref="F293:F300" si="28">SUM(D293*0.7)</f>
        <v>244.3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9" t="s">
        <v>428</v>
      </c>
      <c r="B294" s="8" t="s">
        <v>429</v>
      </c>
      <c r="C294" s="9" t="s">
        <v>430</v>
      </c>
      <c r="D294" s="10">
        <v>299.0</v>
      </c>
      <c r="E294" s="11">
        <f t="shared" si="27"/>
        <v>239.2</v>
      </c>
      <c r="F294" s="11">
        <f t="shared" si="28"/>
        <v>209.3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9" t="s">
        <v>431</v>
      </c>
      <c r="B295" s="8" t="s">
        <v>432</v>
      </c>
      <c r="C295" s="9" t="s">
        <v>433</v>
      </c>
      <c r="D295" s="10">
        <v>399.0</v>
      </c>
      <c r="E295" s="11">
        <f t="shared" si="27"/>
        <v>319.2</v>
      </c>
      <c r="F295" s="11">
        <f t="shared" si="28"/>
        <v>279.3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9" t="s">
        <v>434</v>
      </c>
      <c r="B296" s="8" t="s">
        <v>435</v>
      </c>
      <c r="C296" s="9" t="s">
        <v>433</v>
      </c>
      <c r="D296" s="10">
        <v>399.0</v>
      </c>
      <c r="E296" s="11">
        <f t="shared" si="27"/>
        <v>319.2</v>
      </c>
      <c r="F296" s="11">
        <f t="shared" si="28"/>
        <v>279.3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9" t="s">
        <v>436</v>
      </c>
      <c r="B297" s="8" t="s">
        <v>437</v>
      </c>
      <c r="C297" s="9" t="s">
        <v>438</v>
      </c>
      <c r="D297" s="10">
        <v>399.0</v>
      </c>
      <c r="E297" s="11">
        <f t="shared" si="27"/>
        <v>319.2</v>
      </c>
      <c r="F297" s="11">
        <f t="shared" si="28"/>
        <v>279.3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 t="s">
        <v>439</v>
      </c>
      <c r="B298" s="8" t="s">
        <v>440</v>
      </c>
      <c r="C298" s="9" t="s">
        <v>441</v>
      </c>
      <c r="D298" s="10">
        <v>499.0</v>
      </c>
      <c r="E298" s="11">
        <f t="shared" si="27"/>
        <v>399.2</v>
      </c>
      <c r="F298" s="11">
        <f t="shared" si="28"/>
        <v>349.3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 t="s">
        <v>442</v>
      </c>
      <c r="B299" s="8" t="s">
        <v>443</v>
      </c>
      <c r="C299" s="9" t="s">
        <v>444</v>
      </c>
      <c r="D299" s="10">
        <v>549.0</v>
      </c>
      <c r="E299" s="11">
        <f t="shared" si="27"/>
        <v>439.2</v>
      </c>
      <c r="F299" s="11">
        <f t="shared" si="28"/>
        <v>384.3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9" t="s">
        <v>445</v>
      </c>
      <c r="B300" s="8" t="s">
        <v>446</v>
      </c>
      <c r="C300" s="9" t="s">
        <v>447</v>
      </c>
      <c r="D300" s="10">
        <v>349.0</v>
      </c>
      <c r="E300" s="11">
        <f t="shared" si="27"/>
        <v>279.2</v>
      </c>
      <c r="F300" s="11">
        <f t="shared" si="28"/>
        <v>244.3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9" t="s">
        <v>448</v>
      </c>
      <c r="B301" s="8" t="s">
        <v>449</v>
      </c>
      <c r="C301" s="9" t="s">
        <v>450</v>
      </c>
      <c r="D301" s="11">
        <v>599.0</v>
      </c>
      <c r="E301" s="11">
        <f t="shared" si="27"/>
        <v>479.2</v>
      </c>
      <c r="F301" s="10" t="s">
        <v>13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hidden="1" customHeight="1" outlineLevel="1">
      <c r="A302" s="9" t="s">
        <v>163</v>
      </c>
      <c r="B302" s="9" t="s">
        <v>11</v>
      </c>
      <c r="C302" s="13" t="s">
        <v>451</v>
      </c>
      <c r="D302" s="10">
        <v>49.0</v>
      </c>
      <c r="E302" s="11">
        <f t="shared" si="27"/>
        <v>39.2</v>
      </c>
      <c r="F302" s="7" t="s">
        <v>13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hidden="1" customHeight="1" outlineLevel="1">
      <c r="A303" s="9" t="s">
        <v>165</v>
      </c>
      <c r="B303" s="9" t="s">
        <v>15</v>
      </c>
      <c r="C303" s="13" t="s">
        <v>451</v>
      </c>
      <c r="D303" s="10">
        <v>98.0</v>
      </c>
      <c r="E303" s="11">
        <f t="shared" si="27"/>
        <v>78.4</v>
      </c>
      <c r="F303" s="7" t="s">
        <v>13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hidden="1" customHeight="1" outlineLevel="1">
      <c r="A304" s="9" t="s">
        <v>166</v>
      </c>
      <c r="B304" s="9" t="s">
        <v>17</v>
      </c>
      <c r="C304" s="13" t="s">
        <v>451</v>
      </c>
      <c r="D304" s="10">
        <v>196.0</v>
      </c>
      <c r="E304" s="11">
        <f t="shared" si="27"/>
        <v>156.8</v>
      </c>
      <c r="F304" s="7" t="s">
        <v>13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hidden="1" customHeight="1" outlineLevel="1">
      <c r="A305" s="13" t="s">
        <v>167</v>
      </c>
      <c r="B305" s="13" t="s">
        <v>19</v>
      </c>
      <c r="C305" s="13" t="s">
        <v>452</v>
      </c>
      <c r="D305" s="10">
        <v>59.0</v>
      </c>
      <c r="E305" s="11">
        <f t="shared" si="27"/>
        <v>47.2</v>
      </c>
      <c r="F305" s="7" t="s">
        <v>13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hidden="1" customHeight="1" outlineLevel="1">
      <c r="A306" s="13" t="s">
        <v>169</v>
      </c>
      <c r="B306" s="13" t="s">
        <v>22</v>
      </c>
      <c r="C306" s="13" t="s">
        <v>452</v>
      </c>
      <c r="D306" s="10">
        <v>100.0</v>
      </c>
      <c r="E306" s="11">
        <f t="shared" si="27"/>
        <v>80</v>
      </c>
      <c r="F306" s="7" t="s">
        <v>13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hidden="1" customHeight="1" outlineLevel="1">
      <c r="A307" s="13" t="s">
        <v>170</v>
      </c>
      <c r="B307" s="13" t="s">
        <v>24</v>
      </c>
      <c r="C307" s="13" t="s">
        <v>452</v>
      </c>
      <c r="D307" s="10">
        <v>165.0</v>
      </c>
      <c r="E307" s="11">
        <f t="shared" si="27"/>
        <v>132</v>
      </c>
      <c r="F307" s="7" t="s">
        <v>13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hidden="1" customHeight="1" outlineLevel="1">
      <c r="A308" s="9" t="s">
        <v>453</v>
      </c>
      <c r="B308" s="9" t="s">
        <v>454</v>
      </c>
      <c r="C308" s="13" t="s">
        <v>455</v>
      </c>
      <c r="D308" s="10">
        <v>99.0</v>
      </c>
      <c r="E308" s="11">
        <f t="shared" si="27"/>
        <v>79.2</v>
      </c>
      <c r="F308" s="7" t="s">
        <v>13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hidden="1" customHeight="1" outlineLevel="1">
      <c r="A309" s="9" t="s">
        <v>456</v>
      </c>
      <c r="B309" s="9" t="s">
        <v>457</v>
      </c>
      <c r="C309" s="13" t="s">
        <v>458</v>
      </c>
      <c r="D309" s="10">
        <v>98.0</v>
      </c>
      <c r="E309" s="11">
        <f t="shared" si="27"/>
        <v>78.4</v>
      </c>
      <c r="F309" s="7" t="s">
        <v>13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hidden="1" customHeight="1" outlineLevel="1">
      <c r="A310" s="9" t="s">
        <v>459</v>
      </c>
      <c r="B310" s="9" t="s">
        <v>457</v>
      </c>
      <c r="C310" s="13" t="s">
        <v>460</v>
      </c>
      <c r="D310" s="10">
        <v>150.0</v>
      </c>
      <c r="E310" s="11">
        <f t="shared" si="27"/>
        <v>120</v>
      </c>
      <c r="F310" s="7" t="s">
        <v>13</v>
      </c>
      <c r="G310" s="18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hidden="1" customHeight="1" outlineLevel="1">
      <c r="A311" s="9" t="s">
        <v>461</v>
      </c>
      <c r="B311" s="9" t="s">
        <v>457</v>
      </c>
      <c r="C311" s="13" t="s">
        <v>462</v>
      </c>
      <c r="D311" s="10">
        <v>118.0</v>
      </c>
      <c r="E311" s="11">
        <f t="shared" si="27"/>
        <v>94.4</v>
      </c>
      <c r="F311" s="10" t="s">
        <v>13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hidden="1" customHeight="1" outlineLevel="1">
      <c r="A312" s="9" t="s">
        <v>463</v>
      </c>
      <c r="B312" s="9" t="s">
        <v>457</v>
      </c>
      <c r="C312" s="13" t="s">
        <v>464</v>
      </c>
      <c r="D312" s="10">
        <v>190.0</v>
      </c>
      <c r="E312" s="11">
        <f t="shared" si="27"/>
        <v>152</v>
      </c>
      <c r="F312" s="10" t="s">
        <v>13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hidden="1" customHeight="1" outlineLevel="1">
      <c r="A313" s="9" t="s">
        <v>25</v>
      </c>
      <c r="B313" s="13" t="s">
        <v>26</v>
      </c>
      <c r="C313" s="9" t="s">
        <v>80</v>
      </c>
      <c r="D313" s="10">
        <v>20.0</v>
      </c>
      <c r="E313" s="11">
        <f t="shared" si="27"/>
        <v>16</v>
      </c>
      <c r="F313" s="7" t="s">
        <v>13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hidden="1" customHeight="1" outlineLevel="1">
      <c r="A314" s="9" t="s">
        <v>28</v>
      </c>
      <c r="B314" s="13" t="s">
        <v>29</v>
      </c>
      <c r="C314" s="9" t="s">
        <v>30</v>
      </c>
      <c r="D314" s="10">
        <v>40.0</v>
      </c>
      <c r="E314" s="11">
        <f t="shared" si="27"/>
        <v>32</v>
      </c>
      <c r="F314" s="7" t="s">
        <v>13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hidden="1" customHeight="1" outlineLevel="1">
      <c r="A315" s="9" t="s">
        <v>31</v>
      </c>
      <c r="B315" s="13" t="s">
        <v>32</v>
      </c>
      <c r="C315" s="9" t="s">
        <v>81</v>
      </c>
      <c r="D315" s="10">
        <v>60.0</v>
      </c>
      <c r="E315" s="11">
        <f t="shared" si="27"/>
        <v>48</v>
      </c>
      <c r="F315" s="7" t="s">
        <v>13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hidden="1" customHeight="1" outlineLevel="1">
      <c r="A316" s="9" t="s">
        <v>33</v>
      </c>
      <c r="B316" s="9" t="s">
        <v>34</v>
      </c>
      <c r="C316" s="13" t="s">
        <v>35</v>
      </c>
      <c r="D316" s="10">
        <v>200.0</v>
      </c>
      <c r="E316" s="11">
        <f t="shared" si="27"/>
        <v>160</v>
      </c>
      <c r="F316" s="7" t="s">
        <v>13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 collapsed="1">
      <c r="A317" s="19" t="s">
        <v>465</v>
      </c>
      <c r="B317" s="27"/>
      <c r="C317" s="27"/>
      <c r="D317" s="27"/>
      <c r="E317" s="27"/>
      <c r="F317" s="27"/>
    </row>
    <row r="318" ht="15.75" customHeight="1">
      <c r="A318" s="9" t="s">
        <v>466</v>
      </c>
      <c r="B318" s="8" t="s">
        <v>467</v>
      </c>
      <c r="C318" s="9" t="s">
        <v>468</v>
      </c>
      <c r="D318" s="10">
        <v>699.0</v>
      </c>
      <c r="E318" s="10">
        <f t="shared" ref="E318:E320" si="29">D318*0.8</f>
        <v>559.2</v>
      </c>
      <c r="F318" s="11">
        <f>D318*0.7</f>
        <v>489.3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9" t="s">
        <v>469</v>
      </c>
      <c r="B319" s="8" t="s">
        <v>470</v>
      </c>
      <c r="C319" s="9" t="s">
        <v>471</v>
      </c>
      <c r="D319" s="10">
        <v>599.0</v>
      </c>
      <c r="E319" s="10">
        <f t="shared" si="29"/>
        <v>479.2</v>
      </c>
      <c r="F319" s="10" t="s">
        <v>13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9" t="s">
        <v>472</v>
      </c>
      <c r="B320" s="8" t="s">
        <v>473</v>
      </c>
      <c r="C320" s="9" t="s">
        <v>474</v>
      </c>
      <c r="D320" s="10">
        <v>699.0</v>
      </c>
      <c r="E320" s="10">
        <f t="shared" si="29"/>
        <v>559.2</v>
      </c>
      <c r="F320" s="10" t="s">
        <v>13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9" t="s">
        <v>475</v>
      </c>
      <c r="B321" s="8" t="s">
        <v>476</v>
      </c>
      <c r="C321" s="9" t="s">
        <v>477</v>
      </c>
      <c r="D321" s="10">
        <v>999.0</v>
      </c>
      <c r="E321" s="11">
        <f t="shared" ref="E321:E335" si="30">SUM(D321*0.8)</f>
        <v>799.2</v>
      </c>
      <c r="F321" s="11">
        <f t="shared" ref="F321:F323" si="31">SUM(D321*0.7)</f>
        <v>699.3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9" t="s">
        <v>478</v>
      </c>
      <c r="B322" s="8" t="s">
        <v>476</v>
      </c>
      <c r="C322" s="9" t="s">
        <v>479</v>
      </c>
      <c r="D322" s="10">
        <v>999.0</v>
      </c>
      <c r="E322" s="11">
        <f t="shared" si="30"/>
        <v>799.2</v>
      </c>
      <c r="F322" s="11">
        <f t="shared" si="31"/>
        <v>699.3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9" t="s">
        <v>480</v>
      </c>
      <c r="B323" s="8" t="s">
        <v>481</v>
      </c>
      <c r="C323" s="9" t="s">
        <v>482</v>
      </c>
      <c r="D323" s="11">
        <v>2899.0</v>
      </c>
      <c r="E323" s="11">
        <f t="shared" si="30"/>
        <v>2319.2</v>
      </c>
      <c r="F323" s="11">
        <f t="shared" si="31"/>
        <v>2029.3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 outlineLevel="1">
      <c r="A324" s="13" t="s">
        <v>171</v>
      </c>
      <c r="B324" s="13" t="s">
        <v>11</v>
      </c>
      <c r="C324" s="13" t="s">
        <v>483</v>
      </c>
      <c r="D324" s="10">
        <v>99.0</v>
      </c>
      <c r="E324" s="11">
        <f t="shared" si="30"/>
        <v>79.2</v>
      </c>
      <c r="F324" s="7" t="s">
        <v>13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 outlineLevel="1">
      <c r="A325" s="13" t="s">
        <v>173</v>
      </c>
      <c r="B325" s="13" t="s">
        <v>15</v>
      </c>
      <c r="C325" s="13" t="s">
        <v>483</v>
      </c>
      <c r="D325" s="10">
        <v>198.0</v>
      </c>
      <c r="E325" s="11">
        <f t="shared" si="30"/>
        <v>158.4</v>
      </c>
      <c r="F325" s="7" t="s">
        <v>13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 outlineLevel="1">
      <c r="A326" s="13" t="s">
        <v>174</v>
      </c>
      <c r="B326" s="13" t="s">
        <v>17</v>
      </c>
      <c r="C326" s="13" t="s">
        <v>483</v>
      </c>
      <c r="D326" s="10">
        <v>396.0</v>
      </c>
      <c r="E326" s="11">
        <f t="shared" si="30"/>
        <v>316.8</v>
      </c>
      <c r="F326" s="7" t="s">
        <v>13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 outlineLevel="1">
      <c r="A327" s="13" t="s">
        <v>175</v>
      </c>
      <c r="B327" s="13" t="s">
        <v>19</v>
      </c>
      <c r="C327" s="13" t="s">
        <v>484</v>
      </c>
      <c r="D327" s="10">
        <v>119.0</v>
      </c>
      <c r="E327" s="11">
        <f t="shared" si="30"/>
        <v>95.2</v>
      </c>
      <c r="F327" s="7" t="s">
        <v>13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 outlineLevel="1">
      <c r="A328" s="13" t="s">
        <v>177</v>
      </c>
      <c r="B328" s="13" t="s">
        <v>22</v>
      </c>
      <c r="C328" s="13" t="s">
        <v>485</v>
      </c>
      <c r="D328" s="10">
        <v>202.0</v>
      </c>
      <c r="E328" s="11">
        <f t="shared" si="30"/>
        <v>161.6</v>
      </c>
      <c r="F328" s="7" t="s">
        <v>13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 outlineLevel="1">
      <c r="A329" s="13" t="s">
        <v>179</v>
      </c>
      <c r="B329" s="13" t="s">
        <v>24</v>
      </c>
      <c r="C329" s="13" t="s">
        <v>484</v>
      </c>
      <c r="D329" s="10">
        <v>333.0</v>
      </c>
      <c r="E329" s="11">
        <f t="shared" si="30"/>
        <v>266.4</v>
      </c>
      <c r="F329" s="7" t="s">
        <v>13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 outlineLevel="1">
      <c r="A330" s="13" t="s">
        <v>10</v>
      </c>
      <c r="B330" s="13" t="s">
        <v>11</v>
      </c>
      <c r="C330" s="13" t="s">
        <v>486</v>
      </c>
      <c r="D330" s="10">
        <v>149.0</v>
      </c>
      <c r="E330" s="11">
        <f t="shared" si="30"/>
        <v>119.2</v>
      </c>
      <c r="F330" s="7" t="s">
        <v>13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 outlineLevel="1">
      <c r="A331" s="13" t="s">
        <v>14</v>
      </c>
      <c r="B331" s="13" t="s">
        <v>15</v>
      </c>
      <c r="C331" s="13" t="s">
        <v>486</v>
      </c>
      <c r="D331" s="10">
        <v>298.0</v>
      </c>
      <c r="E331" s="11">
        <f t="shared" si="30"/>
        <v>238.4</v>
      </c>
      <c r="F331" s="7" t="s">
        <v>13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 outlineLevel="1">
      <c r="A332" s="13" t="s">
        <v>16</v>
      </c>
      <c r="B332" s="13" t="s">
        <v>17</v>
      </c>
      <c r="C332" s="13" t="s">
        <v>486</v>
      </c>
      <c r="D332" s="10">
        <v>596.0</v>
      </c>
      <c r="E332" s="11">
        <f t="shared" si="30"/>
        <v>476.8</v>
      </c>
      <c r="F332" s="7" t="s">
        <v>13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 outlineLevel="1">
      <c r="A333" s="13" t="s">
        <v>18</v>
      </c>
      <c r="B333" s="13" t="s">
        <v>19</v>
      </c>
      <c r="C333" s="13" t="s">
        <v>487</v>
      </c>
      <c r="D333" s="10">
        <v>179.0</v>
      </c>
      <c r="E333" s="11">
        <f t="shared" si="30"/>
        <v>143.2</v>
      </c>
      <c r="F333" s="7" t="s">
        <v>13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 outlineLevel="1">
      <c r="A334" s="13" t="s">
        <v>21</v>
      </c>
      <c r="B334" s="13" t="s">
        <v>22</v>
      </c>
      <c r="C334" s="13" t="s">
        <v>487</v>
      </c>
      <c r="D334" s="10">
        <v>304.0</v>
      </c>
      <c r="E334" s="11">
        <f t="shared" si="30"/>
        <v>243.2</v>
      </c>
      <c r="F334" s="7" t="s">
        <v>13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 outlineLevel="1">
      <c r="A335" s="13" t="s">
        <v>23</v>
      </c>
      <c r="B335" s="13" t="s">
        <v>24</v>
      </c>
      <c r="C335" s="13" t="s">
        <v>487</v>
      </c>
      <c r="D335" s="10">
        <v>501.0</v>
      </c>
      <c r="E335" s="11">
        <f t="shared" si="30"/>
        <v>400.8</v>
      </c>
      <c r="F335" s="7" t="s">
        <v>13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 outlineLevel="1">
      <c r="A336" s="13" t="s">
        <v>50</v>
      </c>
      <c r="B336" s="13" t="s">
        <v>11</v>
      </c>
      <c r="C336" s="13" t="s">
        <v>488</v>
      </c>
      <c r="D336" s="14">
        <v>249.0</v>
      </c>
      <c r="E336" s="14">
        <f t="shared" ref="E336:E341" si="32">D336*0.8</f>
        <v>199.2</v>
      </c>
      <c r="F336" s="7" t="s">
        <v>13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 outlineLevel="1">
      <c r="A337" s="13" t="s">
        <v>52</v>
      </c>
      <c r="B337" s="13" t="s">
        <v>15</v>
      </c>
      <c r="C337" s="13" t="s">
        <v>488</v>
      </c>
      <c r="D337" s="14">
        <v>498.0</v>
      </c>
      <c r="E337" s="14">
        <f t="shared" si="32"/>
        <v>398.4</v>
      </c>
      <c r="F337" s="7" t="s">
        <v>13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 outlineLevel="1">
      <c r="A338" s="13" t="s">
        <v>53</v>
      </c>
      <c r="B338" s="13" t="s">
        <v>17</v>
      </c>
      <c r="C338" s="13" t="s">
        <v>488</v>
      </c>
      <c r="D338" s="14">
        <v>996.0</v>
      </c>
      <c r="E338" s="14">
        <f t="shared" si="32"/>
        <v>796.8</v>
      </c>
      <c r="F338" s="7" t="s">
        <v>13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 outlineLevel="1">
      <c r="A339" s="13" t="s">
        <v>54</v>
      </c>
      <c r="B339" s="13" t="s">
        <v>19</v>
      </c>
      <c r="C339" s="13" t="s">
        <v>489</v>
      </c>
      <c r="D339" s="14">
        <v>299.0</v>
      </c>
      <c r="E339" s="14">
        <f t="shared" si="32"/>
        <v>239.2</v>
      </c>
      <c r="F339" s="7" t="s">
        <v>13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 outlineLevel="1">
      <c r="A340" s="13" t="s">
        <v>56</v>
      </c>
      <c r="B340" s="13" t="s">
        <v>22</v>
      </c>
      <c r="C340" s="13" t="s">
        <v>489</v>
      </c>
      <c r="D340" s="14">
        <v>508.0</v>
      </c>
      <c r="E340" s="14">
        <f t="shared" si="32"/>
        <v>406.4</v>
      </c>
      <c r="F340" s="7" t="s">
        <v>13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 outlineLevel="1">
      <c r="A341" s="13" t="s">
        <v>57</v>
      </c>
      <c r="B341" s="13" t="s">
        <v>24</v>
      </c>
      <c r="C341" s="13" t="s">
        <v>489</v>
      </c>
      <c r="D341" s="14">
        <v>837.0</v>
      </c>
      <c r="E341" s="14">
        <f t="shared" si="32"/>
        <v>669.6</v>
      </c>
      <c r="F341" s="7" t="s">
        <v>13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 outlineLevel="1">
      <c r="A342" s="9" t="s">
        <v>25</v>
      </c>
      <c r="B342" s="13" t="s">
        <v>26</v>
      </c>
      <c r="C342" s="9" t="s">
        <v>80</v>
      </c>
      <c r="D342" s="10">
        <v>20.0</v>
      </c>
      <c r="E342" s="11">
        <f t="shared" ref="E342:E347" si="33">SUM(D342*0.8)</f>
        <v>16</v>
      </c>
      <c r="F342" s="7" t="s">
        <v>13</v>
      </c>
      <c r="G342" s="12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 outlineLevel="1">
      <c r="A343" s="9" t="s">
        <v>28</v>
      </c>
      <c r="B343" s="13" t="s">
        <v>29</v>
      </c>
      <c r="C343" s="9" t="s">
        <v>30</v>
      </c>
      <c r="D343" s="10">
        <v>40.0</v>
      </c>
      <c r="E343" s="11">
        <f t="shared" si="33"/>
        <v>32</v>
      </c>
      <c r="F343" s="7" t="s">
        <v>13</v>
      </c>
      <c r="G343" s="12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 outlineLevel="1">
      <c r="A344" s="9" t="s">
        <v>31</v>
      </c>
      <c r="B344" s="13" t="s">
        <v>32</v>
      </c>
      <c r="C344" s="9" t="s">
        <v>81</v>
      </c>
      <c r="D344" s="10">
        <v>60.0</v>
      </c>
      <c r="E344" s="11">
        <f t="shared" si="33"/>
        <v>48</v>
      </c>
      <c r="F344" s="7" t="s">
        <v>13</v>
      </c>
      <c r="G344" s="12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 outlineLevel="1">
      <c r="A345" s="9" t="s">
        <v>33</v>
      </c>
      <c r="B345" s="9" t="s">
        <v>34</v>
      </c>
      <c r="C345" s="13" t="s">
        <v>35</v>
      </c>
      <c r="D345" s="10">
        <v>200.0</v>
      </c>
      <c r="E345" s="11">
        <f t="shared" si="33"/>
        <v>160</v>
      </c>
      <c r="F345" s="7" t="s">
        <v>13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 outlineLevel="1">
      <c r="A346" s="13" t="s">
        <v>36</v>
      </c>
      <c r="B346" s="13" t="s">
        <v>34</v>
      </c>
      <c r="C346" s="13" t="s">
        <v>37</v>
      </c>
      <c r="D346" s="10">
        <v>400.0</v>
      </c>
      <c r="E346" s="11">
        <f t="shared" si="33"/>
        <v>320</v>
      </c>
      <c r="F346" s="7" t="s">
        <v>13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 outlineLevel="1">
      <c r="A347" s="13" t="s">
        <v>38</v>
      </c>
      <c r="B347" s="13" t="s">
        <v>34</v>
      </c>
      <c r="C347" s="13" t="s">
        <v>39</v>
      </c>
      <c r="D347" s="10">
        <v>600.0</v>
      </c>
      <c r="E347" s="11">
        <f t="shared" si="33"/>
        <v>480</v>
      </c>
      <c r="F347" s="7" t="s">
        <v>13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9" t="s">
        <v>490</v>
      </c>
      <c r="B348" s="16"/>
      <c r="C348" s="16"/>
      <c r="D348" s="16"/>
      <c r="E348" s="16"/>
      <c r="F348" s="16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23" t="s">
        <v>491</v>
      </c>
      <c r="B349" s="24"/>
      <c r="C349" s="24"/>
      <c r="D349" s="24"/>
      <c r="E349" s="25"/>
      <c r="F349" s="24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9" t="s">
        <v>492</v>
      </c>
      <c r="B350" s="8" t="s">
        <v>493</v>
      </c>
      <c r="C350" s="9" t="s">
        <v>494</v>
      </c>
      <c r="D350" s="10">
        <v>1199.0</v>
      </c>
      <c r="E350" s="11">
        <f t="shared" ref="E350:E362" si="34">SUM(D350*0.8)</f>
        <v>959.2</v>
      </c>
      <c r="F350" s="11">
        <f>SUM(D350*0.7)</f>
        <v>839.3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hidden="1" customHeight="1" outlineLevel="1">
      <c r="A351" s="13" t="s">
        <v>495</v>
      </c>
      <c r="B351" s="13" t="s">
        <v>11</v>
      </c>
      <c r="C351" s="13" t="s">
        <v>496</v>
      </c>
      <c r="D351" s="10">
        <v>199.0</v>
      </c>
      <c r="E351" s="11">
        <f t="shared" si="34"/>
        <v>159.2</v>
      </c>
      <c r="F351" s="7" t="s">
        <v>13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hidden="1" customHeight="1" outlineLevel="1">
      <c r="A352" s="13" t="s">
        <v>497</v>
      </c>
      <c r="B352" s="13" t="s">
        <v>15</v>
      </c>
      <c r="C352" s="13" t="s">
        <v>496</v>
      </c>
      <c r="D352" s="10">
        <v>398.0</v>
      </c>
      <c r="E352" s="11">
        <f t="shared" si="34"/>
        <v>318.4</v>
      </c>
      <c r="F352" s="7" t="s">
        <v>13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hidden="1" customHeight="1" outlineLevel="1">
      <c r="A353" s="13" t="s">
        <v>498</v>
      </c>
      <c r="B353" s="13" t="s">
        <v>17</v>
      </c>
      <c r="C353" s="13" t="s">
        <v>496</v>
      </c>
      <c r="D353" s="10">
        <v>796.0</v>
      </c>
      <c r="E353" s="11">
        <f t="shared" si="34"/>
        <v>636.8</v>
      </c>
      <c r="F353" s="7" t="s">
        <v>13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hidden="1" customHeight="1" outlineLevel="1">
      <c r="A354" s="13" t="s">
        <v>499</v>
      </c>
      <c r="B354" s="9" t="s">
        <v>19</v>
      </c>
      <c r="C354" s="13" t="s">
        <v>500</v>
      </c>
      <c r="D354" s="10">
        <v>239.0</v>
      </c>
      <c r="E354" s="11">
        <f t="shared" si="34"/>
        <v>191.2</v>
      </c>
      <c r="F354" s="7" t="s">
        <v>13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hidden="1" customHeight="1" outlineLevel="1">
      <c r="A355" s="13" t="s">
        <v>501</v>
      </c>
      <c r="B355" s="9" t="s">
        <v>22</v>
      </c>
      <c r="C355" s="13" t="s">
        <v>500</v>
      </c>
      <c r="D355" s="10">
        <v>406.0</v>
      </c>
      <c r="E355" s="11">
        <f t="shared" si="34"/>
        <v>324.8</v>
      </c>
      <c r="F355" s="7" t="s">
        <v>13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hidden="1" customHeight="1" outlineLevel="1">
      <c r="A356" s="38" t="s">
        <v>502</v>
      </c>
      <c r="B356" s="9" t="s">
        <v>24</v>
      </c>
      <c r="C356" s="13" t="s">
        <v>500</v>
      </c>
      <c r="D356" s="10">
        <v>669.0</v>
      </c>
      <c r="E356" s="11">
        <f t="shared" si="34"/>
        <v>535.2</v>
      </c>
      <c r="F356" s="7" t="s">
        <v>13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hidden="1" customHeight="1" outlineLevel="1">
      <c r="A357" s="13" t="s">
        <v>503</v>
      </c>
      <c r="B357" s="20" t="s">
        <v>504</v>
      </c>
      <c r="C357" s="13" t="s">
        <v>505</v>
      </c>
      <c r="D357" s="10">
        <v>398.0</v>
      </c>
      <c r="E357" s="11">
        <f t="shared" si="34"/>
        <v>318.4</v>
      </c>
      <c r="F357" s="7" t="s">
        <v>13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hidden="1" customHeight="1" outlineLevel="1">
      <c r="A358" s="13" t="s">
        <v>506</v>
      </c>
      <c r="B358" s="20" t="s">
        <v>507</v>
      </c>
      <c r="C358" s="13" t="s">
        <v>508</v>
      </c>
      <c r="D358" s="10">
        <v>696.0</v>
      </c>
      <c r="E358" s="11">
        <f t="shared" si="34"/>
        <v>556.8</v>
      </c>
      <c r="F358" s="7" t="s">
        <v>13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hidden="1" customHeight="1" outlineLevel="1">
      <c r="A359" s="13" t="s">
        <v>509</v>
      </c>
      <c r="B359" s="13" t="s">
        <v>510</v>
      </c>
      <c r="C359" s="13" t="s">
        <v>511</v>
      </c>
      <c r="D359" s="10">
        <v>199.0</v>
      </c>
      <c r="E359" s="11">
        <f t="shared" si="34"/>
        <v>159.2</v>
      </c>
      <c r="F359" s="7" t="s">
        <v>13</v>
      </c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hidden="1" customHeight="1" outlineLevel="1">
      <c r="A360" s="9" t="s">
        <v>25</v>
      </c>
      <c r="B360" s="13" t="s">
        <v>26</v>
      </c>
      <c r="C360" s="9" t="s">
        <v>80</v>
      </c>
      <c r="D360" s="10">
        <v>20.0</v>
      </c>
      <c r="E360" s="11">
        <f t="shared" si="34"/>
        <v>16</v>
      </c>
      <c r="F360" s="7" t="s">
        <v>13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hidden="1" customHeight="1" outlineLevel="1">
      <c r="A361" s="9" t="s">
        <v>28</v>
      </c>
      <c r="B361" s="13" t="s">
        <v>29</v>
      </c>
      <c r="C361" s="9" t="s">
        <v>30</v>
      </c>
      <c r="D361" s="10">
        <v>40.0</v>
      </c>
      <c r="E361" s="11">
        <f t="shared" si="34"/>
        <v>32</v>
      </c>
      <c r="F361" s="7" t="s">
        <v>13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hidden="1" customHeight="1" outlineLevel="1">
      <c r="A362" s="9" t="s">
        <v>31</v>
      </c>
      <c r="B362" s="13" t="s">
        <v>32</v>
      </c>
      <c r="C362" s="9" t="s">
        <v>81</v>
      </c>
      <c r="D362" s="10">
        <v>60.0</v>
      </c>
      <c r="E362" s="11">
        <f t="shared" si="34"/>
        <v>48</v>
      </c>
      <c r="F362" s="7" t="s">
        <v>13</v>
      </c>
      <c r="G362" s="12"/>
    </row>
    <row r="363" ht="15.75" customHeight="1" collapsed="1">
      <c r="A363" s="19" t="s">
        <v>512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23" t="s">
        <v>513</v>
      </c>
      <c r="B364" s="24"/>
      <c r="C364" s="24"/>
      <c r="D364" s="24"/>
      <c r="E364" s="25"/>
      <c r="F364" s="24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9" t="s">
        <v>514</v>
      </c>
      <c r="B365" s="8" t="s">
        <v>515</v>
      </c>
      <c r="C365" s="9" t="s">
        <v>516</v>
      </c>
      <c r="D365" s="10">
        <v>2299.0</v>
      </c>
      <c r="E365" s="10">
        <f>D365*0.8</f>
        <v>1839.2</v>
      </c>
      <c r="F365" s="11">
        <f>D365*0.7</f>
        <v>1609.3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hidden="1" customHeight="1" outlineLevel="1">
      <c r="A366" s="9" t="s">
        <v>517</v>
      </c>
      <c r="B366" s="9" t="s">
        <v>256</v>
      </c>
      <c r="C366" s="13" t="s">
        <v>518</v>
      </c>
      <c r="D366" s="10">
        <v>399.0</v>
      </c>
      <c r="E366" s="11">
        <f t="shared" ref="E366:E378" si="35">SUM(D366*0.8)</f>
        <v>319.2</v>
      </c>
      <c r="F366" s="7" t="s">
        <v>13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hidden="1" customHeight="1" outlineLevel="1">
      <c r="A367" s="9" t="s">
        <v>519</v>
      </c>
      <c r="B367" s="9" t="s">
        <v>259</v>
      </c>
      <c r="C367" s="13" t="s">
        <v>518</v>
      </c>
      <c r="D367" s="10">
        <v>759.0</v>
      </c>
      <c r="E367" s="11">
        <f t="shared" si="35"/>
        <v>607.2</v>
      </c>
      <c r="F367" s="7" t="s">
        <v>13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hidden="1" customHeight="1" outlineLevel="1">
      <c r="A368" s="13" t="s">
        <v>520</v>
      </c>
      <c r="B368" s="13" t="s">
        <v>69</v>
      </c>
      <c r="C368" s="13" t="s">
        <v>521</v>
      </c>
      <c r="D368" s="10">
        <v>579.0</v>
      </c>
      <c r="E368" s="11">
        <f t="shared" si="35"/>
        <v>463.2</v>
      </c>
      <c r="F368" s="7" t="s">
        <v>13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hidden="1" customHeight="1" outlineLevel="1">
      <c r="A369" s="13" t="s">
        <v>522</v>
      </c>
      <c r="B369" s="13" t="s">
        <v>72</v>
      </c>
      <c r="C369" s="13" t="s">
        <v>521</v>
      </c>
      <c r="D369" s="10">
        <v>984.0</v>
      </c>
      <c r="E369" s="11">
        <f t="shared" si="35"/>
        <v>787.2</v>
      </c>
      <c r="F369" s="7" t="s">
        <v>13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hidden="1" customHeight="1" outlineLevel="1">
      <c r="A370" s="13" t="s">
        <v>523</v>
      </c>
      <c r="B370" s="13" t="s">
        <v>74</v>
      </c>
      <c r="C370" s="13" t="s">
        <v>521</v>
      </c>
      <c r="D370" s="10">
        <v>1621.0</v>
      </c>
      <c r="E370" s="11">
        <f t="shared" si="35"/>
        <v>1296.8</v>
      </c>
      <c r="F370" s="7" t="s">
        <v>13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hidden="1" customHeight="1" outlineLevel="1">
      <c r="A371" s="13" t="s">
        <v>524</v>
      </c>
      <c r="B371" s="13" t="s">
        <v>525</v>
      </c>
      <c r="C371" s="13" t="s">
        <v>376</v>
      </c>
      <c r="D371" s="10">
        <v>269.0</v>
      </c>
      <c r="E371" s="11">
        <f t="shared" si="35"/>
        <v>215.2</v>
      </c>
      <c r="F371" s="7" t="s">
        <v>13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hidden="1" customHeight="1" outlineLevel="1">
      <c r="A372" s="13" t="s">
        <v>526</v>
      </c>
      <c r="B372" s="13" t="s">
        <v>527</v>
      </c>
      <c r="C372" s="13" t="s">
        <v>376</v>
      </c>
      <c r="D372" s="10">
        <v>199.0</v>
      </c>
      <c r="E372" s="11">
        <f t="shared" si="35"/>
        <v>159.2</v>
      </c>
      <c r="F372" s="7" t="s">
        <v>13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hidden="1" customHeight="1" outlineLevel="1">
      <c r="A373" s="9" t="s">
        <v>25</v>
      </c>
      <c r="B373" s="13" t="s">
        <v>26</v>
      </c>
      <c r="C373" s="9" t="s">
        <v>80</v>
      </c>
      <c r="D373" s="10">
        <v>20.0</v>
      </c>
      <c r="E373" s="11">
        <f t="shared" si="35"/>
        <v>16</v>
      </c>
      <c r="F373" s="7" t="s">
        <v>13</v>
      </c>
      <c r="G373" s="12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hidden="1" customHeight="1" outlineLevel="1">
      <c r="A374" s="9" t="s">
        <v>28</v>
      </c>
      <c r="B374" s="13" t="s">
        <v>29</v>
      </c>
      <c r="C374" s="9" t="s">
        <v>30</v>
      </c>
      <c r="D374" s="10">
        <v>40.0</v>
      </c>
      <c r="E374" s="11">
        <f t="shared" si="35"/>
        <v>32</v>
      </c>
      <c r="F374" s="7" t="s">
        <v>13</v>
      </c>
      <c r="G374" s="12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hidden="1" customHeight="1" outlineLevel="1">
      <c r="A375" s="9" t="s">
        <v>31</v>
      </c>
      <c r="B375" s="13" t="s">
        <v>32</v>
      </c>
      <c r="C375" s="9" t="s">
        <v>81</v>
      </c>
      <c r="D375" s="10">
        <v>60.0</v>
      </c>
      <c r="E375" s="11">
        <f t="shared" si="35"/>
        <v>48</v>
      </c>
      <c r="F375" s="7" t="s">
        <v>13</v>
      </c>
      <c r="G375" s="12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hidden="1" customHeight="1" outlineLevel="1">
      <c r="A376" s="13" t="s">
        <v>33</v>
      </c>
      <c r="B376" s="13" t="s">
        <v>375</v>
      </c>
      <c r="C376" s="13" t="s">
        <v>376</v>
      </c>
      <c r="D376" s="10">
        <v>200.0</v>
      </c>
      <c r="E376" s="11">
        <f t="shared" si="35"/>
        <v>160</v>
      </c>
      <c r="F376" s="7" t="s">
        <v>13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hidden="1" customHeight="1" outlineLevel="1">
      <c r="A377" s="13" t="s">
        <v>36</v>
      </c>
      <c r="B377" s="13" t="s">
        <v>108</v>
      </c>
      <c r="C377" s="13" t="s">
        <v>376</v>
      </c>
      <c r="D377" s="10">
        <v>400.0</v>
      </c>
      <c r="E377" s="11">
        <f t="shared" si="35"/>
        <v>320</v>
      </c>
      <c r="F377" s="7" t="s">
        <v>13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hidden="1" customHeight="1" outlineLevel="1">
      <c r="A378" s="13" t="s">
        <v>38</v>
      </c>
      <c r="B378" s="13" t="s">
        <v>110</v>
      </c>
      <c r="C378" s="13" t="s">
        <v>376</v>
      </c>
      <c r="D378" s="10">
        <v>600.0</v>
      </c>
      <c r="E378" s="11">
        <f t="shared" si="35"/>
        <v>480</v>
      </c>
      <c r="F378" s="7" t="s">
        <v>13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 collapsed="1">
      <c r="A379" s="39" t="s">
        <v>528</v>
      </c>
      <c r="E379" s="40"/>
      <c r="F379" s="41"/>
    </row>
    <row r="380" ht="15.75" customHeight="1">
      <c r="A380" s="9" t="s">
        <v>529</v>
      </c>
      <c r="B380" s="8" t="s">
        <v>530</v>
      </c>
      <c r="C380" s="9" t="s">
        <v>531</v>
      </c>
      <c r="D380" s="10">
        <v>2699.0</v>
      </c>
      <c r="E380" s="11">
        <f t="shared" ref="E380:E389" si="36">SUM(D380*0.8)</f>
        <v>2159.2</v>
      </c>
      <c r="F380" s="11">
        <f>SUM(D380*0.7)</f>
        <v>1889.3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hidden="1" customHeight="1" outlineLevel="1">
      <c r="A381" s="13" t="s">
        <v>532</v>
      </c>
      <c r="B381" s="13" t="s">
        <v>69</v>
      </c>
      <c r="C381" s="13" t="s">
        <v>533</v>
      </c>
      <c r="D381" s="10">
        <v>679.0</v>
      </c>
      <c r="E381" s="11">
        <f t="shared" si="36"/>
        <v>543.2</v>
      </c>
      <c r="F381" s="7" t="s">
        <v>13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hidden="1" customHeight="1" outlineLevel="2">
      <c r="A382" s="13" t="s">
        <v>534</v>
      </c>
      <c r="B382" s="13" t="s">
        <v>72</v>
      </c>
      <c r="C382" s="13" t="s">
        <v>533</v>
      </c>
      <c r="D382" s="10">
        <v>1154.0</v>
      </c>
      <c r="E382" s="11">
        <f t="shared" si="36"/>
        <v>923.2</v>
      </c>
      <c r="F382" s="7" t="s">
        <v>13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hidden="1" customHeight="1" outlineLevel="2">
      <c r="A383" s="13" t="s">
        <v>535</v>
      </c>
      <c r="B383" s="13" t="s">
        <v>74</v>
      </c>
      <c r="C383" s="13" t="s">
        <v>533</v>
      </c>
      <c r="D383" s="10">
        <v>1901.0</v>
      </c>
      <c r="E383" s="11">
        <f t="shared" si="36"/>
        <v>1520.8</v>
      </c>
      <c r="F383" s="7" t="s">
        <v>13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hidden="1" customHeight="1" outlineLevel="2">
      <c r="A384" s="9" t="s">
        <v>536</v>
      </c>
      <c r="B384" s="9" t="s">
        <v>256</v>
      </c>
      <c r="C384" s="13" t="s">
        <v>537</v>
      </c>
      <c r="D384" s="10">
        <v>459.0</v>
      </c>
      <c r="E384" s="11">
        <f t="shared" si="36"/>
        <v>367.2</v>
      </c>
      <c r="F384" s="7" t="s">
        <v>13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hidden="1" customHeight="1" outlineLevel="2">
      <c r="A385" s="9" t="s">
        <v>538</v>
      </c>
      <c r="B385" s="9" t="s">
        <v>259</v>
      </c>
      <c r="C385" s="13" t="s">
        <v>537</v>
      </c>
      <c r="D385" s="10">
        <v>899.0</v>
      </c>
      <c r="E385" s="11">
        <f t="shared" si="36"/>
        <v>719.2</v>
      </c>
      <c r="F385" s="7" t="s">
        <v>13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hidden="1" customHeight="1" outlineLevel="2">
      <c r="A386" s="9" t="s">
        <v>235</v>
      </c>
      <c r="B386" s="9" t="s">
        <v>539</v>
      </c>
      <c r="C386" s="13" t="s">
        <v>540</v>
      </c>
      <c r="D386" s="10">
        <v>999.0</v>
      </c>
      <c r="E386" s="11">
        <f t="shared" si="36"/>
        <v>799.2</v>
      </c>
      <c r="F386" s="7" t="s">
        <v>13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hidden="1" customHeight="1" outlineLevel="2">
      <c r="A387" s="9" t="s">
        <v>25</v>
      </c>
      <c r="B387" s="13" t="s">
        <v>26</v>
      </c>
      <c r="C387" s="9" t="s">
        <v>80</v>
      </c>
      <c r="D387" s="10">
        <v>20.0</v>
      </c>
      <c r="E387" s="11">
        <f t="shared" si="36"/>
        <v>16</v>
      </c>
      <c r="F387" s="7" t="s">
        <v>13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hidden="1" customHeight="1" outlineLevel="2">
      <c r="A388" s="9" t="s">
        <v>28</v>
      </c>
      <c r="B388" s="13" t="s">
        <v>29</v>
      </c>
      <c r="C388" s="9" t="s">
        <v>30</v>
      </c>
      <c r="D388" s="10">
        <v>40.0</v>
      </c>
      <c r="E388" s="11">
        <f t="shared" si="36"/>
        <v>32</v>
      </c>
      <c r="F388" s="7" t="s">
        <v>13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hidden="1" customHeight="1" outlineLevel="2">
      <c r="A389" s="9" t="s">
        <v>31</v>
      </c>
      <c r="B389" s="13" t="s">
        <v>32</v>
      </c>
      <c r="C389" s="9" t="s">
        <v>81</v>
      </c>
      <c r="D389" s="10">
        <v>60.0</v>
      </c>
      <c r="E389" s="11">
        <f t="shared" si="36"/>
        <v>48</v>
      </c>
      <c r="F389" s="7" t="s">
        <v>13</v>
      </c>
      <c r="G389" s="12"/>
    </row>
    <row r="390" ht="15.75" customHeight="1" collapsed="1">
      <c r="A390" s="19" t="s">
        <v>541</v>
      </c>
      <c r="B390" s="27"/>
      <c r="C390" s="27"/>
      <c r="D390" s="27"/>
      <c r="E390" s="27"/>
      <c r="F390" s="27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23" t="s">
        <v>542</v>
      </c>
      <c r="B391" s="24"/>
      <c r="C391" s="24"/>
      <c r="D391" s="24"/>
      <c r="E391" s="25"/>
      <c r="F391" s="24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42" t="s">
        <v>543</v>
      </c>
      <c r="B392" s="43" t="s">
        <v>544</v>
      </c>
      <c r="C392" s="9" t="s">
        <v>545</v>
      </c>
      <c r="D392" s="44">
        <v>5999.0</v>
      </c>
      <c r="E392" s="44">
        <v>4799.2</v>
      </c>
      <c r="F392" s="44">
        <v>4199.3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9" t="s">
        <v>546</v>
      </c>
      <c r="B393" s="8" t="s">
        <v>547</v>
      </c>
      <c r="C393" s="9" t="s">
        <v>548</v>
      </c>
      <c r="D393" s="11">
        <v>6999.0</v>
      </c>
      <c r="E393" s="11">
        <f t="shared" ref="E393:E394" si="37">SUM(D393*0.8)</f>
        <v>5599.2</v>
      </c>
      <c r="F393" s="11">
        <f t="shared" ref="F393:F394" si="38">SUM(D393*0.7)</f>
        <v>4899.3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9" t="s">
        <v>549</v>
      </c>
      <c r="B394" s="8" t="s">
        <v>550</v>
      </c>
      <c r="C394" s="9" t="s">
        <v>551</v>
      </c>
      <c r="D394" s="11">
        <v>9999.0</v>
      </c>
      <c r="E394" s="11">
        <f t="shared" si="37"/>
        <v>7999.2</v>
      </c>
      <c r="F394" s="11">
        <f t="shared" si="38"/>
        <v>6999.3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hidden="1" customHeight="1" outlineLevel="1">
      <c r="A395" s="9" t="s">
        <v>552</v>
      </c>
      <c r="B395" s="9" t="s">
        <v>256</v>
      </c>
      <c r="C395" s="9" t="s">
        <v>553</v>
      </c>
      <c r="D395" s="11">
        <v>1019.0</v>
      </c>
      <c r="E395" s="10">
        <f t="shared" ref="E395:E410" si="39">D395*0.8</f>
        <v>815.2</v>
      </c>
      <c r="F395" s="10" t="s">
        <v>13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hidden="1" customHeight="1" outlineLevel="1">
      <c r="A396" s="9" t="s">
        <v>554</v>
      </c>
      <c r="B396" s="9" t="s">
        <v>259</v>
      </c>
      <c r="C396" s="9" t="s">
        <v>553</v>
      </c>
      <c r="D396" s="11">
        <v>1979.0</v>
      </c>
      <c r="E396" s="10">
        <f t="shared" si="39"/>
        <v>1583.2</v>
      </c>
      <c r="F396" s="10" t="s">
        <v>13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hidden="1" customHeight="1" outlineLevel="1">
      <c r="A397" s="13" t="s">
        <v>555</v>
      </c>
      <c r="B397" s="13" t="s">
        <v>69</v>
      </c>
      <c r="C397" s="9" t="s">
        <v>556</v>
      </c>
      <c r="D397" s="11">
        <v>1499.0</v>
      </c>
      <c r="E397" s="10">
        <f t="shared" si="39"/>
        <v>1199.2</v>
      </c>
      <c r="F397" s="10" t="s">
        <v>13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hidden="1" customHeight="1" outlineLevel="1">
      <c r="A398" s="13" t="s">
        <v>557</v>
      </c>
      <c r="B398" s="13" t="s">
        <v>72</v>
      </c>
      <c r="C398" s="9" t="s">
        <v>556</v>
      </c>
      <c r="D398" s="11">
        <v>2548.0</v>
      </c>
      <c r="E398" s="10">
        <f t="shared" si="39"/>
        <v>2038.4</v>
      </c>
      <c r="F398" s="10" t="s">
        <v>13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hidden="1" customHeight="1" outlineLevel="1">
      <c r="A399" s="13" t="s">
        <v>558</v>
      </c>
      <c r="B399" s="13" t="s">
        <v>74</v>
      </c>
      <c r="C399" s="9" t="s">
        <v>556</v>
      </c>
      <c r="D399" s="11">
        <v>4197.0</v>
      </c>
      <c r="E399" s="10">
        <f t="shared" si="39"/>
        <v>3357.6</v>
      </c>
      <c r="F399" s="10" t="s">
        <v>13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hidden="1" customHeight="1" outlineLevel="1">
      <c r="A400" s="13" t="s">
        <v>559</v>
      </c>
      <c r="B400" s="13" t="s">
        <v>69</v>
      </c>
      <c r="C400" s="9" t="s">
        <v>560</v>
      </c>
      <c r="D400" s="11">
        <v>1749.0</v>
      </c>
      <c r="E400" s="10">
        <f t="shared" si="39"/>
        <v>1399.2</v>
      </c>
      <c r="F400" s="10" t="s">
        <v>13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hidden="1" customHeight="1" outlineLevel="1">
      <c r="A401" s="13" t="s">
        <v>561</v>
      </c>
      <c r="B401" s="13" t="s">
        <v>72</v>
      </c>
      <c r="C401" s="9" t="s">
        <v>560</v>
      </c>
      <c r="D401" s="11">
        <v>2973.0</v>
      </c>
      <c r="E401" s="10">
        <f t="shared" si="39"/>
        <v>2378.4</v>
      </c>
      <c r="F401" s="10" t="s">
        <v>13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hidden="1" customHeight="1" outlineLevel="1">
      <c r="A402" s="13" t="s">
        <v>562</v>
      </c>
      <c r="B402" s="13" t="s">
        <v>74</v>
      </c>
      <c r="C402" s="9" t="s">
        <v>560</v>
      </c>
      <c r="D402" s="11">
        <v>4897.0</v>
      </c>
      <c r="E402" s="10">
        <f t="shared" si="39"/>
        <v>3917.6</v>
      </c>
      <c r="F402" s="10" t="s">
        <v>13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hidden="1" customHeight="1" outlineLevel="1">
      <c r="A403" s="9" t="s">
        <v>563</v>
      </c>
      <c r="B403" s="9" t="s">
        <v>256</v>
      </c>
      <c r="C403" s="9" t="s">
        <v>564</v>
      </c>
      <c r="D403" s="11">
        <v>1190.0</v>
      </c>
      <c r="E403" s="10">
        <f t="shared" si="39"/>
        <v>952</v>
      </c>
      <c r="F403" s="10" t="s">
        <v>13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hidden="1" customHeight="1" outlineLevel="1">
      <c r="A404" s="9" t="s">
        <v>565</v>
      </c>
      <c r="B404" s="9" t="s">
        <v>259</v>
      </c>
      <c r="C404" s="9" t="s">
        <v>564</v>
      </c>
      <c r="D404" s="11">
        <v>2310.0</v>
      </c>
      <c r="E404" s="10">
        <f t="shared" si="39"/>
        <v>1848</v>
      </c>
      <c r="F404" s="10" t="s">
        <v>13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hidden="1" customHeight="1" outlineLevel="1">
      <c r="A405" s="13" t="s">
        <v>566</v>
      </c>
      <c r="B405" s="9" t="s">
        <v>256</v>
      </c>
      <c r="C405" s="13" t="s">
        <v>567</v>
      </c>
      <c r="D405" s="11">
        <v>1699.0</v>
      </c>
      <c r="E405" s="10">
        <f t="shared" si="39"/>
        <v>1359.2</v>
      </c>
      <c r="F405" s="10" t="s">
        <v>13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hidden="1" customHeight="1" outlineLevel="1">
      <c r="A406" s="13" t="s">
        <v>568</v>
      </c>
      <c r="B406" s="9" t="s">
        <v>259</v>
      </c>
      <c r="C406" s="13" t="s">
        <v>567</v>
      </c>
      <c r="D406" s="11">
        <v>3299.0</v>
      </c>
      <c r="E406" s="10">
        <f t="shared" si="39"/>
        <v>2639.2</v>
      </c>
      <c r="F406" s="10" t="s">
        <v>13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hidden="1" customHeight="1" outlineLevel="1">
      <c r="A407" s="13" t="s">
        <v>569</v>
      </c>
      <c r="B407" s="13" t="s">
        <v>69</v>
      </c>
      <c r="C407" s="13" t="s">
        <v>570</v>
      </c>
      <c r="D407" s="11">
        <v>1819.0</v>
      </c>
      <c r="E407" s="10">
        <f t="shared" si="39"/>
        <v>1455.2</v>
      </c>
      <c r="F407" s="10" t="s">
        <v>13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hidden="1" customHeight="1" outlineLevel="1">
      <c r="A408" s="13" t="s">
        <v>571</v>
      </c>
      <c r="B408" s="13" t="s">
        <v>72</v>
      </c>
      <c r="C408" s="13" t="s">
        <v>570</v>
      </c>
      <c r="D408" s="11">
        <v>3092.0</v>
      </c>
      <c r="E408" s="10">
        <f t="shared" si="39"/>
        <v>2473.6</v>
      </c>
      <c r="F408" s="10" t="s">
        <v>13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hidden="1" customHeight="1" outlineLevel="1">
      <c r="A409" s="13" t="s">
        <v>572</v>
      </c>
      <c r="B409" s="13" t="s">
        <v>74</v>
      </c>
      <c r="C409" s="13" t="s">
        <v>570</v>
      </c>
      <c r="D409" s="11">
        <v>5093.0</v>
      </c>
      <c r="E409" s="10">
        <f t="shared" si="39"/>
        <v>4074.4</v>
      </c>
      <c r="F409" s="10" t="s">
        <v>13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hidden="1" customHeight="1" outlineLevel="1">
      <c r="A410" s="9" t="s">
        <v>235</v>
      </c>
      <c r="B410" s="9" t="s">
        <v>539</v>
      </c>
      <c r="C410" s="13" t="s">
        <v>540</v>
      </c>
      <c r="D410" s="10">
        <v>999.0</v>
      </c>
      <c r="E410" s="10">
        <f t="shared" si="39"/>
        <v>799.2</v>
      </c>
      <c r="F410" s="7" t="s">
        <v>13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hidden="1" customHeight="1" outlineLevel="1">
      <c r="A411" s="9" t="s">
        <v>25</v>
      </c>
      <c r="B411" s="13" t="s">
        <v>26</v>
      </c>
      <c r="C411" s="9" t="s">
        <v>80</v>
      </c>
      <c r="D411" s="10">
        <v>20.0</v>
      </c>
      <c r="E411" s="11">
        <f t="shared" ref="E411:E417" si="40">SUM(D411*0.8)</f>
        <v>16</v>
      </c>
      <c r="F411" s="7" t="s">
        <v>13</v>
      </c>
      <c r="G411" s="12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hidden="1" customHeight="1" outlineLevel="1">
      <c r="A412" s="9" t="s">
        <v>28</v>
      </c>
      <c r="B412" s="13" t="s">
        <v>29</v>
      </c>
      <c r="C412" s="9" t="s">
        <v>30</v>
      </c>
      <c r="D412" s="10">
        <v>40.0</v>
      </c>
      <c r="E412" s="11">
        <f t="shared" si="40"/>
        <v>32</v>
      </c>
      <c r="F412" s="7" t="s">
        <v>13</v>
      </c>
      <c r="G412" s="12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hidden="1" customHeight="1" outlineLevel="1">
      <c r="A413" s="9" t="s">
        <v>31</v>
      </c>
      <c r="B413" s="13" t="s">
        <v>32</v>
      </c>
      <c r="C413" s="9" t="s">
        <v>81</v>
      </c>
      <c r="D413" s="10">
        <v>60.0</v>
      </c>
      <c r="E413" s="11">
        <f t="shared" si="40"/>
        <v>48</v>
      </c>
      <c r="F413" s="7" t="s">
        <v>13</v>
      </c>
      <c r="G413" s="12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hidden="1" customHeight="1" outlineLevel="1">
      <c r="A414" s="13" t="s">
        <v>33</v>
      </c>
      <c r="B414" s="13" t="s">
        <v>375</v>
      </c>
      <c r="C414" s="13" t="s">
        <v>376</v>
      </c>
      <c r="D414" s="10">
        <v>200.0</v>
      </c>
      <c r="E414" s="11">
        <f t="shared" si="40"/>
        <v>160</v>
      </c>
      <c r="F414" s="7" t="s">
        <v>13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hidden="1" customHeight="1" outlineLevel="1">
      <c r="A415" s="13" t="s">
        <v>36</v>
      </c>
      <c r="B415" s="13" t="s">
        <v>108</v>
      </c>
      <c r="C415" s="13" t="s">
        <v>376</v>
      </c>
      <c r="D415" s="10">
        <v>400.0</v>
      </c>
      <c r="E415" s="11">
        <f t="shared" si="40"/>
        <v>320</v>
      </c>
      <c r="F415" s="7" t="s">
        <v>13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hidden="1" customHeight="1" outlineLevel="1">
      <c r="A416" s="13" t="s">
        <v>38</v>
      </c>
      <c r="B416" s="13" t="s">
        <v>110</v>
      </c>
      <c r="C416" s="13" t="s">
        <v>376</v>
      </c>
      <c r="D416" s="10">
        <v>600.0</v>
      </c>
      <c r="E416" s="11">
        <f t="shared" si="40"/>
        <v>480</v>
      </c>
      <c r="F416" s="7" t="s">
        <v>13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hidden="1" customHeight="1" outlineLevel="1">
      <c r="A417" s="7" t="s">
        <v>112</v>
      </c>
      <c r="B417" s="9" t="s">
        <v>34</v>
      </c>
      <c r="C417" s="13" t="s">
        <v>300</v>
      </c>
      <c r="D417" s="14">
        <v>2336.0</v>
      </c>
      <c r="E417" s="14">
        <f t="shared" si="40"/>
        <v>1868.8</v>
      </c>
      <c r="F417" s="10" t="s">
        <v>13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 collapsed="1">
      <c r="A418" s="15" t="s">
        <v>573</v>
      </c>
      <c r="B418" s="35"/>
      <c r="C418" s="31"/>
      <c r="D418" s="45"/>
      <c r="E418" s="37"/>
      <c r="F418" s="37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9" t="s">
        <v>574</v>
      </c>
      <c r="B419" s="8" t="s">
        <v>575</v>
      </c>
      <c r="C419" s="9" t="s">
        <v>576</v>
      </c>
      <c r="D419" s="10">
        <v>7999.0</v>
      </c>
      <c r="E419" s="11">
        <f t="shared" ref="E419:E446" si="41">SUM(D419*0.8)</f>
        <v>6399.2</v>
      </c>
      <c r="F419" s="11">
        <f t="shared" ref="F419:F423" si="42">SUM(D419*0.7)</f>
        <v>5599.3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7" t="s">
        <v>577</v>
      </c>
      <c r="B420" s="8" t="s">
        <v>578</v>
      </c>
      <c r="C420" s="13" t="s">
        <v>579</v>
      </c>
      <c r="D420" s="10">
        <v>9999.0</v>
      </c>
      <c r="E420" s="11">
        <f t="shared" si="41"/>
        <v>7999.2</v>
      </c>
      <c r="F420" s="11">
        <f t="shared" si="42"/>
        <v>6999.3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9" t="s">
        <v>580</v>
      </c>
      <c r="B421" s="8" t="s">
        <v>581</v>
      </c>
      <c r="C421" s="9" t="s">
        <v>582</v>
      </c>
      <c r="D421" s="10">
        <v>7999.0</v>
      </c>
      <c r="E421" s="11">
        <f t="shared" si="41"/>
        <v>6399.2</v>
      </c>
      <c r="F421" s="11">
        <f t="shared" si="42"/>
        <v>5599.3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9" t="s">
        <v>583</v>
      </c>
      <c r="B422" s="46" t="s">
        <v>584</v>
      </c>
      <c r="C422" s="13" t="s">
        <v>585</v>
      </c>
      <c r="D422" s="10">
        <v>11999.0</v>
      </c>
      <c r="E422" s="11">
        <f t="shared" si="41"/>
        <v>9599.2</v>
      </c>
      <c r="F422" s="11">
        <f t="shared" si="42"/>
        <v>8399.3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9" t="s">
        <v>586</v>
      </c>
      <c r="B423" s="46" t="s">
        <v>584</v>
      </c>
      <c r="C423" s="13" t="s">
        <v>587</v>
      </c>
      <c r="D423" s="10">
        <v>11999.0</v>
      </c>
      <c r="E423" s="11">
        <f t="shared" si="41"/>
        <v>9599.2</v>
      </c>
      <c r="F423" s="11">
        <f t="shared" si="42"/>
        <v>8399.3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hidden="1" customHeight="1" outlineLevel="1">
      <c r="A424" s="13" t="s">
        <v>588</v>
      </c>
      <c r="B424" s="13" t="s">
        <v>69</v>
      </c>
      <c r="C424" s="13" t="s">
        <v>589</v>
      </c>
      <c r="D424" s="10">
        <v>1999.0</v>
      </c>
      <c r="E424" s="11">
        <f t="shared" si="41"/>
        <v>1599.2</v>
      </c>
      <c r="F424" s="7" t="s">
        <v>13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hidden="1" customHeight="1" outlineLevel="1">
      <c r="A425" s="13" t="s">
        <v>590</v>
      </c>
      <c r="B425" s="13" t="s">
        <v>72</v>
      </c>
      <c r="C425" s="13" t="s">
        <v>589</v>
      </c>
      <c r="D425" s="10">
        <v>3398.0</v>
      </c>
      <c r="E425" s="11">
        <f t="shared" si="41"/>
        <v>2718.4</v>
      </c>
      <c r="F425" s="7" t="s">
        <v>13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hidden="1" customHeight="1" outlineLevel="1">
      <c r="A426" s="13" t="s">
        <v>591</v>
      </c>
      <c r="B426" s="13" t="s">
        <v>74</v>
      </c>
      <c r="C426" s="13" t="s">
        <v>589</v>
      </c>
      <c r="D426" s="10">
        <v>5597.0</v>
      </c>
      <c r="E426" s="11">
        <f t="shared" si="41"/>
        <v>4477.6</v>
      </c>
      <c r="F426" s="7" t="s">
        <v>13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hidden="1" customHeight="1" outlineLevel="1">
      <c r="A427" s="9" t="s">
        <v>592</v>
      </c>
      <c r="B427" s="9" t="s">
        <v>256</v>
      </c>
      <c r="C427" s="13" t="s">
        <v>593</v>
      </c>
      <c r="D427" s="10">
        <v>1359.0</v>
      </c>
      <c r="E427" s="11">
        <f t="shared" si="41"/>
        <v>1087.2</v>
      </c>
      <c r="F427" s="7" t="s">
        <v>13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hidden="1" customHeight="1" outlineLevel="1">
      <c r="A428" s="9" t="s">
        <v>594</v>
      </c>
      <c r="B428" s="9" t="s">
        <v>259</v>
      </c>
      <c r="C428" s="13" t="s">
        <v>593</v>
      </c>
      <c r="D428" s="10">
        <v>2639.0</v>
      </c>
      <c r="E428" s="11">
        <f t="shared" si="41"/>
        <v>2111.2</v>
      </c>
      <c r="F428" s="7" t="s">
        <v>13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hidden="1" customHeight="1" outlineLevel="1">
      <c r="A429" s="13" t="s">
        <v>595</v>
      </c>
      <c r="B429" s="13" t="s">
        <v>69</v>
      </c>
      <c r="C429" s="13" t="s">
        <v>596</v>
      </c>
      <c r="D429" s="10">
        <v>2499.0</v>
      </c>
      <c r="E429" s="11">
        <f t="shared" si="41"/>
        <v>1999.2</v>
      </c>
      <c r="F429" s="7" t="s">
        <v>13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hidden="1" customHeight="1" outlineLevel="1">
      <c r="A430" s="13" t="s">
        <v>597</v>
      </c>
      <c r="B430" s="13" t="s">
        <v>72</v>
      </c>
      <c r="C430" s="13" t="s">
        <v>596</v>
      </c>
      <c r="D430" s="10">
        <v>4248.0</v>
      </c>
      <c r="E430" s="11">
        <f t="shared" si="41"/>
        <v>3398.4</v>
      </c>
      <c r="F430" s="7" t="s">
        <v>13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hidden="1" customHeight="1" outlineLevel="1">
      <c r="A431" s="13" t="s">
        <v>598</v>
      </c>
      <c r="B431" s="13" t="s">
        <v>74</v>
      </c>
      <c r="C431" s="13" t="s">
        <v>596</v>
      </c>
      <c r="D431" s="10">
        <v>6997.0</v>
      </c>
      <c r="E431" s="11">
        <f t="shared" si="41"/>
        <v>5597.6</v>
      </c>
      <c r="F431" s="7" t="s">
        <v>13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hidden="1" customHeight="1" outlineLevel="1">
      <c r="A432" s="9" t="s">
        <v>599</v>
      </c>
      <c r="B432" s="9" t="s">
        <v>256</v>
      </c>
      <c r="C432" s="13" t="s">
        <v>600</v>
      </c>
      <c r="D432" s="10">
        <v>1699.0</v>
      </c>
      <c r="E432" s="11">
        <f t="shared" si="41"/>
        <v>1359.2</v>
      </c>
      <c r="F432" s="7" t="s">
        <v>13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hidden="1" customHeight="1" outlineLevel="1">
      <c r="A433" s="9" t="s">
        <v>601</v>
      </c>
      <c r="B433" s="9" t="s">
        <v>259</v>
      </c>
      <c r="C433" s="13" t="s">
        <v>600</v>
      </c>
      <c r="D433" s="10">
        <v>3299.0</v>
      </c>
      <c r="E433" s="11">
        <f t="shared" si="41"/>
        <v>2639.2</v>
      </c>
      <c r="F433" s="7" t="s">
        <v>13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hidden="1" customHeight="1" outlineLevel="1">
      <c r="A434" s="9" t="s">
        <v>602</v>
      </c>
      <c r="B434" s="9" t="s">
        <v>256</v>
      </c>
      <c r="C434" s="13" t="s">
        <v>603</v>
      </c>
      <c r="D434" s="10">
        <v>2279.0</v>
      </c>
      <c r="E434" s="11">
        <f t="shared" si="41"/>
        <v>1823.2</v>
      </c>
      <c r="F434" s="7" t="s">
        <v>13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hidden="1" customHeight="1" outlineLevel="1">
      <c r="A435" s="9" t="s">
        <v>604</v>
      </c>
      <c r="B435" s="9" t="s">
        <v>259</v>
      </c>
      <c r="C435" s="13" t="s">
        <v>603</v>
      </c>
      <c r="D435" s="10">
        <v>4199.0</v>
      </c>
      <c r="E435" s="11">
        <f t="shared" si="41"/>
        <v>3359.2</v>
      </c>
      <c r="F435" s="7" t="s">
        <v>13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hidden="1" customHeight="1" outlineLevel="1">
      <c r="A436" s="13" t="s">
        <v>605</v>
      </c>
      <c r="B436" s="13" t="s">
        <v>69</v>
      </c>
      <c r="C436" s="13" t="s">
        <v>606</v>
      </c>
      <c r="D436" s="10">
        <v>2999.0</v>
      </c>
      <c r="E436" s="11">
        <f t="shared" si="41"/>
        <v>2399.2</v>
      </c>
      <c r="F436" s="7" t="s">
        <v>13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hidden="1" customHeight="1" outlineLevel="1">
      <c r="A437" s="13" t="s">
        <v>607</v>
      </c>
      <c r="B437" s="13" t="s">
        <v>72</v>
      </c>
      <c r="C437" s="13" t="s">
        <v>606</v>
      </c>
      <c r="D437" s="10">
        <v>5098.0</v>
      </c>
      <c r="E437" s="11">
        <f t="shared" si="41"/>
        <v>4078.4</v>
      </c>
      <c r="F437" s="7" t="s">
        <v>13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hidden="1" customHeight="1" outlineLevel="1">
      <c r="A438" s="13" t="s">
        <v>608</v>
      </c>
      <c r="B438" s="13" t="s">
        <v>74</v>
      </c>
      <c r="C438" s="13" t="s">
        <v>606</v>
      </c>
      <c r="D438" s="10">
        <v>8397.0</v>
      </c>
      <c r="E438" s="11">
        <f t="shared" si="41"/>
        <v>6717.6</v>
      </c>
      <c r="F438" s="7" t="s">
        <v>13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hidden="1" customHeight="1" outlineLevel="1">
      <c r="A439" s="9" t="s">
        <v>235</v>
      </c>
      <c r="B439" s="9" t="s">
        <v>539</v>
      </c>
      <c r="C439" s="13" t="s">
        <v>540</v>
      </c>
      <c r="D439" s="10">
        <v>999.0</v>
      </c>
      <c r="E439" s="11">
        <f t="shared" si="41"/>
        <v>799.2</v>
      </c>
      <c r="F439" s="7" t="s">
        <v>13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hidden="1" customHeight="1" outlineLevel="1">
      <c r="A440" s="9" t="s">
        <v>25</v>
      </c>
      <c r="B440" s="13" t="s">
        <v>26</v>
      </c>
      <c r="C440" s="9" t="s">
        <v>80</v>
      </c>
      <c r="D440" s="10">
        <v>20.0</v>
      </c>
      <c r="E440" s="11">
        <f t="shared" si="41"/>
        <v>16</v>
      </c>
      <c r="F440" s="7" t="s">
        <v>13</v>
      </c>
      <c r="G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hidden="1" customHeight="1" outlineLevel="1">
      <c r="A441" s="9" t="s">
        <v>28</v>
      </c>
      <c r="B441" s="13" t="s">
        <v>29</v>
      </c>
      <c r="C441" s="9" t="s">
        <v>30</v>
      </c>
      <c r="D441" s="10">
        <v>40.0</v>
      </c>
      <c r="E441" s="11">
        <f t="shared" si="41"/>
        <v>32</v>
      </c>
      <c r="F441" s="7" t="s">
        <v>13</v>
      </c>
      <c r="G441" s="12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hidden="1" customHeight="1" outlineLevel="1">
      <c r="A442" s="9" t="s">
        <v>31</v>
      </c>
      <c r="B442" s="13" t="s">
        <v>32</v>
      </c>
      <c r="C442" s="9" t="s">
        <v>81</v>
      </c>
      <c r="D442" s="10">
        <v>60.0</v>
      </c>
      <c r="E442" s="11">
        <f t="shared" si="41"/>
        <v>48</v>
      </c>
      <c r="F442" s="7" t="s">
        <v>13</v>
      </c>
      <c r="G442" s="12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hidden="1" customHeight="1" outlineLevel="1">
      <c r="A443" s="13" t="s">
        <v>33</v>
      </c>
      <c r="B443" s="13" t="s">
        <v>375</v>
      </c>
      <c r="C443" s="13" t="s">
        <v>376</v>
      </c>
      <c r="D443" s="10">
        <v>200.0</v>
      </c>
      <c r="E443" s="11">
        <f t="shared" si="41"/>
        <v>160</v>
      </c>
      <c r="F443" s="7" t="s">
        <v>13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hidden="1" customHeight="1" outlineLevel="1">
      <c r="A444" s="13" t="s">
        <v>36</v>
      </c>
      <c r="B444" s="13" t="s">
        <v>108</v>
      </c>
      <c r="C444" s="13" t="s">
        <v>376</v>
      </c>
      <c r="D444" s="10">
        <v>400.0</v>
      </c>
      <c r="E444" s="11">
        <f t="shared" si="41"/>
        <v>320</v>
      </c>
      <c r="F444" s="7" t="s">
        <v>13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hidden="1" customHeight="1" outlineLevel="1">
      <c r="A445" s="13" t="s">
        <v>38</v>
      </c>
      <c r="B445" s="13" t="s">
        <v>110</v>
      </c>
      <c r="C445" s="13" t="s">
        <v>376</v>
      </c>
      <c r="D445" s="10">
        <v>600.0</v>
      </c>
      <c r="E445" s="11">
        <f t="shared" si="41"/>
        <v>480</v>
      </c>
      <c r="F445" s="7" t="s">
        <v>13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hidden="1" customHeight="1" outlineLevel="1">
      <c r="A446" s="7" t="s">
        <v>112</v>
      </c>
      <c r="B446" s="9" t="s">
        <v>34</v>
      </c>
      <c r="C446" s="13" t="s">
        <v>300</v>
      </c>
      <c r="D446" s="14">
        <v>2336.0</v>
      </c>
      <c r="E446" s="14">
        <f t="shared" si="41"/>
        <v>1868.8</v>
      </c>
      <c r="F446" s="10" t="s">
        <v>13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 collapsed="1">
      <c r="A447" s="7" t="s">
        <v>609</v>
      </c>
      <c r="B447" s="46"/>
      <c r="C447" s="46"/>
      <c r="D447" s="46"/>
      <c r="E447" s="46"/>
      <c r="F447" s="46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7" t="s">
        <v>610</v>
      </c>
      <c r="B448" s="46" t="s">
        <v>611</v>
      </c>
      <c r="C448" s="7" t="s">
        <v>612</v>
      </c>
      <c r="D448" s="10">
        <v>6999.0</v>
      </c>
      <c r="E448" s="11">
        <f t="shared" ref="E448:E464" si="43">SUM(D448*0.8)</f>
        <v>5599.2</v>
      </c>
      <c r="F448" s="11">
        <f t="shared" ref="F448:F449" si="44">SUM(D448*0.7)</f>
        <v>4899.3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7" t="s">
        <v>613</v>
      </c>
      <c r="B449" s="46" t="s">
        <v>611</v>
      </c>
      <c r="C449" s="7" t="s">
        <v>551</v>
      </c>
      <c r="D449" s="10">
        <v>6999.0</v>
      </c>
      <c r="E449" s="11">
        <f t="shared" si="43"/>
        <v>5599.2</v>
      </c>
      <c r="F449" s="11">
        <f t="shared" si="44"/>
        <v>4899.3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hidden="1" customHeight="1" outlineLevel="1">
      <c r="A450" s="13" t="s">
        <v>614</v>
      </c>
      <c r="B450" s="9" t="s">
        <v>256</v>
      </c>
      <c r="C450" s="7" t="s">
        <v>615</v>
      </c>
      <c r="D450" s="10">
        <v>1189.0</v>
      </c>
      <c r="E450" s="11">
        <f t="shared" si="43"/>
        <v>951.2</v>
      </c>
      <c r="F450" s="7" t="s">
        <v>13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hidden="1" customHeight="1" outlineLevel="1">
      <c r="A451" s="7" t="s">
        <v>616</v>
      </c>
      <c r="B451" s="9" t="s">
        <v>259</v>
      </c>
      <c r="C451" s="7" t="s">
        <v>615</v>
      </c>
      <c r="D451" s="10">
        <v>2309.0</v>
      </c>
      <c r="E451" s="11">
        <f t="shared" si="43"/>
        <v>1847.2</v>
      </c>
      <c r="F451" s="7" t="s">
        <v>13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hidden="1" customHeight="1" outlineLevel="1">
      <c r="A452" s="13" t="s">
        <v>617</v>
      </c>
      <c r="B452" s="13" t="s">
        <v>69</v>
      </c>
      <c r="C452" s="7" t="s">
        <v>618</v>
      </c>
      <c r="D452" s="10">
        <v>1749.0</v>
      </c>
      <c r="E452" s="11">
        <f t="shared" si="43"/>
        <v>1399.2</v>
      </c>
      <c r="F452" s="7" t="s">
        <v>13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hidden="1" customHeight="1" outlineLevel="1">
      <c r="A453" s="13" t="s">
        <v>619</v>
      </c>
      <c r="B453" s="13" t="s">
        <v>72</v>
      </c>
      <c r="C453" s="7" t="s">
        <v>618</v>
      </c>
      <c r="D453" s="10">
        <v>2973.0</v>
      </c>
      <c r="E453" s="11">
        <f t="shared" si="43"/>
        <v>2378.4</v>
      </c>
      <c r="F453" s="7" t="s">
        <v>13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hidden="1" customHeight="1" outlineLevel="1">
      <c r="A454" s="13" t="s">
        <v>620</v>
      </c>
      <c r="B454" s="13" t="s">
        <v>74</v>
      </c>
      <c r="C454" s="7" t="s">
        <v>618</v>
      </c>
      <c r="D454" s="10">
        <v>4897.0</v>
      </c>
      <c r="E454" s="11">
        <f t="shared" si="43"/>
        <v>3917.6</v>
      </c>
      <c r="F454" s="7" t="s">
        <v>13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hidden="1" customHeight="1" outlineLevel="1">
      <c r="A455" s="9" t="s">
        <v>25</v>
      </c>
      <c r="B455" s="13" t="s">
        <v>26</v>
      </c>
      <c r="C455" s="9" t="s">
        <v>80</v>
      </c>
      <c r="D455" s="10">
        <v>20.0</v>
      </c>
      <c r="E455" s="11">
        <f t="shared" si="43"/>
        <v>16</v>
      </c>
      <c r="F455" s="7" t="s">
        <v>13</v>
      </c>
      <c r="G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hidden="1" customHeight="1" outlineLevel="1">
      <c r="A456" s="9" t="s">
        <v>28</v>
      </c>
      <c r="B456" s="13" t="s">
        <v>29</v>
      </c>
      <c r="C456" s="9" t="s">
        <v>30</v>
      </c>
      <c r="D456" s="10">
        <v>40.0</v>
      </c>
      <c r="E456" s="11">
        <f t="shared" si="43"/>
        <v>32</v>
      </c>
      <c r="F456" s="7" t="s">
        <v>13</v>
      </c>
      <c r="G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hidden="1" customHeight="1" outlineLevel="1">
      <c r="A457" s="9" t="s">
        <v>31</v>
      </c>
      <c r="B457" s="13" t="s">
        <v>32</v>
      </c>
      <c r="C457" s="9" t="s">
        <v>81</v>
      </c>
      <c r="D457" s="10">
        <v>60.0</v>
      </c>
      <c r="E457" s="11">
        <f t="shared" si="43"/>
        <v>48</v>
      </c>
      <c r="F457" s="7" t="s">
        <v>13</v>
      </c>
      <c r="G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hidden="1" customHeight="1" outlineLevel="1">
      <c r="A458" s="13" t="s">
        <v>33</v>
      </c>
      <c r="B458" s="13" t="s">
        <v>375</v>
      </c>
      <c r="C458" s="13" t="s">
        <v>376</v>
      </c>
      <c r="D458" s="10">
        <v>200.0</v>
      </c>
      <c r="E458" s="11">
        <f t="shared" si="43"/>
        <v>160</v>
      </c>
      <c r="F458" s="7" t="s">
        <v>13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hidden="1" customHeight="1" outlineLevel="1">
      <c r="A459" s="13" t="s">
        <v>36</v>
      </c>
      <c r="B459" s="13" t="s">
        <v>108</v>
      </c>
      <c r="C459" s="13" t="s">
        <v>376</v>
      </c>
      <c r="D459" s="10">
        <v>400.0</v>
      </c>
      <c r="E459" s="11">
        <f t="shared" si="43"/>
        <v>320</v>
      </c>
      <c r="F459" s="7" t="s">
        <v>13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hidden="1" customHeight="1" outlineLevel="1">
      <c r="A460" s="13" t="s">
        <v>38</v>
      </c>
      <c r="B460" s="13" t="s">
        <v>110</v>
      </c>
      <c r="C460" s="13" t="s">
        <v>376</v>
      </c>
      <c r="D460" s="10">
        <v>600.0</v>
      </c>
      <c r="E460" s="11">
        <f t="shared" si="43"/>
        <v>480</v>
      </c>
      <c r="F460" s="7" t="s">
        <v>13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hidden="1" customHeight="1" outlineLevel="1">
      <c r="A461" s="7" t="s">
        <v>112</v>
      </c>
      <c r="B461" s="9" t="s">
        <v>34</v>
      </c>
      <c r="C461" s="13" t="s">
        <v>300</v>
      </c>
      <c r="D461" s="14">
        <v>2336.0</v>
      </c>
      <c r="E461" s="14">
        <f t="shared" si="43"/>
        <v>1868.8</v>
      </c>
      <c r="F461" s="10" t="s">
        <v>13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hidden="1" customHeight="1" outlineLevel="1">
      <c r="A462" s="13" t="s">
        <v>621</v>
      </c>
      <c r="B462" s="7" t="s">
        <v>41</v>
      </c>
      <c r="C462" s="7" t="s">
        <v>622</v>
      </c>
      <c r="D462" s="10">
        <v>99.0</v>
      </c>
      <c r="E462" s="11">
        <f t="shared" si="43"/>
        <v>79.2</v>
      </c>
      <c r="F462" s="7" t="s">
        <v>13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hidden="1" customHeight="1" outlineLevel="1">
      <c r="A463" s="7" t="s">
        <v>623</v>
      </c>
      <c r="B463" s="7" t="s">
        <v>41</v>
      </c>
      <c r="C463" s="7" t="s">
        <v>624</v>
      </c>
      <c r="D463" s="10">
        <v>199.0</v>
      </c>
      <c r="E463" s="11">
        <f t="shared" si="43"/>
        <v>159.2</v>
      </c>
      <c r="F463" s="7" t="s">
        <v>13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hidden="1" customHeight="1" outlineLevel="1">
      <c r="A464" s="7" t="s">
        <v>40</v>
      </c>
      <c r="B464" s="7" t="s">
        <v>41</v>
      </c>
      <c r="C464" s="7" t="s">
        <v>625</v>
      </c>
      <c r="D464" s="10">
        <v>999.0</v>
      </c>
      <c r="E464" s="11">
        <f t="shared" si="43"/>
        <v>799.2</v>
      </c>
      <c r="F464" s="7" t="s">
        <v>13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 collapsed="1">
      <c r="A465" s="7" t="s">
        <v>609</v>
      </c>
      <c r="B465" s="16"/>
      <c r="C465" s="16"/>
      <c r="D465" s="16"/>
      <c r="E465" s="16"/>
      <c r="F465" s="16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23" t="s">
        <v>626</v>
      </c>
      <c r="B466" s="24"/>
      <c r="C466" s="24"/>
      <c r="D466" s="24"/>
      <c r="E466" s="25"/>
      <c r="F466" s="24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 t="s">
        <v>627</v>
      </c>
      <c r="B467" s="17" t="s">
        <v>628</v>
      </c>
      <c r="C467" s="13" t="s">
        <v>629</v>
      </c>
      <c r="D467" s="10">
        <v>2999.0</v>
      </c>
      <c r="E467" s="11">
        <f t="shared" ref="E467:E479" si="45">SUM(D467*0.8)</f>
        <v>2399.2</v>
      </c>
      <c r="F467" s="11">
        <f t="shared" ref="F467:F469" si="46">SUM(D467*0.7)</f>
        <v>2099.3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 t="s">
        <v>630</v>
      </c>
      <c r="B468" s="17" t="s">
        <v>631</v>
      </c>
      <c r="C468" s="13" t="s">
        <v>632</v>
      </c>
      <c r="D468" s="10">
        <v>4999.0</v>
      </c>
      <c r="E468" s="11">
        <f t="shared" si="45"/>
        <v>3999.2</v>
      </c>
      <c r="F468" s="11">
        <f t="shared" si="46"/>
        <v>3499.3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 t="s">
        <v>633</v>
      </c>
      <c r="B469" s="17" t="s">
        <v>631</v>
      </c>
      <c r="C469" s="13" t="s">
        <v>632</v>
      </c>
      <c r="D469" s="10">
        <v>4999.0</v>
      </c>
      <c r="E469" s="11">
        <f t="shared" si="45"/>
        <v>3999.2</v>
      </c>
      <c r="F469" s="11">
        <f t="shared" si="46"/>
        <v>3499.3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hidden="1" customHeight="1" outlineLevel="1">
      <c r="A470" s="13" t="s">
        <v>634</v>
      </c>
      <c r="B470" s="13" t="s">
        <v>256</v>
      </c>
      <c r="C470" s="13" t="s">
        <v>635</v>
      </c>
      <c r="D470" s="10">
        <v>569.0</v>
      </c>
      <c r="E470" s="11">
        <f t="shared" si="45"/>
        <v>455.2</v>
      </c>
      <c r="F470" s="7" t="s">
        <v>13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hidden="1" customHeight="1" outlineLevel="1">
      <c r="A471" s="13" t="s">
        <v>636</v>
      </c>
      <c r="B471" s="13" t="s">
        <v>259</v>
      </c>
      <c r="C471" s="13" t="s">
        <v>635</v>
      </c>
      <c r="D471" s="10">
        <v>1049.0</v>
      </c>
      <c r="E471" s="11">
        <f t="shared" si="45"/>
        <v>839.2</v>
      </c>
      <c r="F471" s="7" t="s">
        <v>13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hidden="1" customHeight="1" outlineLevel="1">
      <c r="A472" s="13" t="s">
        <v>637</v>
      </c>
      <c r="B472" s="13" t="s">
        <v>256</v>
      </c>
      <c r="C472" s="13" t="s">
        <v>638</v>
      </c>
      <c r="D472" s="10">
        <v>949.0</v>
      </c>
      <c r="E472" s="11">
        <f t="shared" si="45"/>
        <v>759.2</v>
      </c>
      <c r="F472" s="7" t="s">
        <v>13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hidden="1" customHeight="1" outlineLevel="1">
      <c r="A473" s="13" t="s">
        <v>639</v>
      </c>
      <c r="B473" s="13" t="s">
        <v>259</v>
      </c>
      <c r="C473" s="13" t="s">
        <v>638</v>
      </c>
      <c r="D473" s="10">
        <v>1749.0</v>
      </c>
      <c r="E473" s="11">
        <f t="shared" si="45"/>
        <v>1399.2</v>
      </c>
      <c r="F473" s="7" t="s">
        <v>13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hidden="1" customHeight="1" outlineLevel="1">
      <c r="A474" s="13" t="s">
        <v>640</v>
      </c>
      <c r="B474" s="13" t="s">
        <v>69</v>
      </c>
      <c r="C474" s="13" t="s">
        <v>641</v>
      </c>
      <c r="D474" s="10">
        <v>719.0</v>
      </c>
      <c r="E474" s="11">
        <f t="shared" si="45"/>
        <v>575.2</v>
      </c>
      <c r="F474" s="7" t="s">
        <v>13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hidden="1" customHeight="1" outlineLevel="1">
      <c r="A475" s="13" t="s">
        <v>642</v>
      </c>
      <c r="B475" s="13" t="s">
        <v>72</v>
      </c>
      <c r="C475" s="13" t="s">
        <v>641</v>
      </c>
      <c r="D475" s="10">
        <v>1222.0</v>
      </c>
      <c r="E475" s="11">
        <f t="shared" si="45"/>
        <v>977.6</v>
      </c>
      <c r="F475" s="7" t="s">
        <v>13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hidden="1" customHeight="1" outlineLevel="1">
      <c r="A476" s="13" t="s">
        <v>643</v>
      </c>
      <c r="B476" s="13" t="s">
        <v>74</v>
      </c>
      <c r="C476" s="13" t="s">
        <v>641</v>
      </c>
      <c r="D476" s="10">
        <v>2013.0</v>
      </c>
      <c r="E476" s="11">
        <f t="shared" si="45"/>
        <v>1610.4</v>
      </c>
      <c r="F476" s="7" t="s">
        <v>13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hidden="1" customHeight="1" outlineLevel="1">
      <c r="A477" s="13" t="s">
        <v>644</v>
      </c>
      <c r="B477" s="13" t="s">
        <v>69</v>
      </c>
      <c r="C477" s="13" t="s">
        <v>645</v>
      </c>
      <c r="D477" s="10">
        <v>1199.0</v>
      </c>
      <c r="E477" s="11">
        <f t="shared" si="45"/>
        <v>959.2</v>
      </c>
      <c r="F477" s="7" t="s">
        <v>13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hidden="1" customHeight="1" outlineLevel="1">
      <c r="A478" s="13" t="s">
        <v>646</v>
      </c>
      <c r="B478" s="13" t="s">
        <v>72</v>
      </c>
      <c r="C478" s="13" t="s">
        <v>645</v>
      </c>
      <c r="D478" s="10">
        <v>2038.0</v>
      </c>
      <c r="E478" s="11">
        <f t="shared" si="45"/>
        <v>1630.4</v>
      </c>
      <c r="F478" s="7" t="s">
        <v>13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hidden="1" customHeight="1" outlineLevel="1">
      <c r="A479" s="13" t="s">
        <v>647</v>
      </c>
      <c r="B479" s="13" t="s">
        <v>74</v>
      </c>
      <c r="C479" s="13" t="s">
        <v>645</v>
      </c>
      <c r="D479" s="10">
        <v>3357.0</v>
      </c>
      <c r="E479" s="11">
        <f t="shared" si="45"/>
        <v>2685.6</v>
      </c>
      <c r="F479" s="7" t="s">
        <v>13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 collapsed="1">
      <c r="A480" s="19" t="s">
        <v>648</v>
      </c>
      <c r="B480" s="12"/>
      <c r="C480" s="12"/>
      <c r="D480" s="36"/>
      <c r="E480" s="37"/>
      <c r="F480" s="15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23" t="s">
        <v>649</v>
      </c>
      <c r="B481" s="24"/>
      <c r="C481" s="24"/>
      <c r="D481" s="24"/>
      <c r="E481" s="25"/>
      <c r="F481" s="24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47" t="s">
        <v>650</v>
      </c>
      <c r="B482" s="48" t="s">
        <v>651</v>
      </c>
      <c r="C482" s="49" t="s">
        <v>652</v>
      </c>
      <c r="D482" s="50">
        <v>299.0</v>
      </c>
      <c r="E482" s="51">
        <f t="shared" ref="E482:E488" si="47">D482*0.8</f>
        <v>239.2</v>
      </c>
      <c r="F482" s="10" t="s">
        <v>13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hidden="1" customHeight="1" outlineLevel="1">
      <c r="A483" s="9" t="s">
        <v>163</v>
      </c>
      <c r="B483" s="9" t="s">
        <v>11</v>
      </c>
      <c r="C483" s="13" t="s">
        <v>653</v>
      </c>
      <c r="D483" s="10">
        <v>49.0</v>
      </c>
      <c r="E483" s="51">
        <f t="shared" si="47"/>
        <v>39.2</v>
      </c>
      <c r="F483" s="10" t="s">
        <v>13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hidden="1" customHeight="1" outlineLevel="1">
      <c r="A484" s="9" t="s">
        <v>165</v>
      </c>
      <c r="B484" s="9" t="s">
        <v>15</v>
      </c>
      <c r="C484" s="13" t="s">
        <v>653</v>
      </c>
      <c r="D484" s="10">
        <v>98.0</v>
      </c>
      <c r="E484" s="51">
        <f t="shared" si="47"/>
        <v>78.4</v>
      </c>
      <c r="F484" s="10" t="s">
        <v>13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hidden="1" customHeight="1" outlineLevel="1">
      <c r="A485" s="9" t="s">
        <v>166</v>
      </c>
      <c r="B485" s="9" t="s">
        <v>17</v>
      </c>
      <c r="C485" s="13" t="s">
        <v>653</v>
      </c>
      <c r="D485" s="10">
        <v>196.0</v>
      </c>
      <c r="E485" s="51">
        <f t="shared" si="47"/>
        <v>156.8</v>
      </c>
      <c r="F485" s="10" t="s">
        <v>13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hidden="1" customHeight="1" outlineLevel="1">
      <c r="A486" s="9" t="s">
        <v>167</v>
      </c>
      <c r="B486" s="9" t="s">
        <v>19</v>
      </c>
      <c r="C486" s="13" t="s">
        <v>654</v>
      </c>
      <c r="D486" s="10">
        <v>59.0</v>
      </c>
      <c r="E486" s="51">
        <f t="shared" si="47"/>
        <v>47.2</v>
      </c>
      <c r="F486" s="10" t="s">
        <v>13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hidden="1" customHeight="1" outlineLevel="1">
      <c r="A487" s="9" t="s">
        <v>169</v>
      </c>
      <c r="B487" s="9" t="s">
        <v>22</v>
      </c>
      <c r="C487" s="13" t="s">
        <v>654</v>
      </c>
      <c r="D487" s="10">
        <v>100.0</v>
      </c>
      <c r="E487" s="51">
        <f t="shared" si="47"/>
        <v>80</v>
      </c>
      <c r="F487" s="10" t="s">
        <v>13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hidden="1" customHeight="1" outlineLevel="1">
      <c r="A488" s="52" t="s">
        <v>170</v>
      </c>
      <c r="B488" s="9" t="s">
        <v>24</v>
      </c>
      <c r="C488" s="13" t="s">
        <v>654</v>
      </c>
      <c r="D488" s="53">
        <v>165.0</v>
      </c>
      <c r="E488" s="51">
        <f t="shared" si="47"/>
        <v>132</v>
      </c>
      <c r="F488" s="10" t="s">
        <v>13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 collapsed="1">
      <c r="A489" s="26" t="s">
        <v>655</v>
      </c>
      <c r="B489" s="54"/>
      <c r="C489" s="55"/>
      <c r="D489" s="56"/>
      <c r="E489" s="57"/>
      <c r="F489" s="56"/>
      <c r="G489" s="18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9" t="s">
        <v>656</v>
      </c>
      <c r="B490" s="8" t="s">
        <v>657</v>
      </c>
      <c r="C490" s="13" t="s">
        <v>658</v>
      </c>
      <c r="D490" s="10">
        <v>14999.0</v>
      </c>
      <c r="E490" s="11">
        <f t="shared" ref="E490:E496" si="48">SUM(D490*0.8)</f>
        <v>11999.2</v>
      </c>
      <c r="F490" s="11">
        <f t="shared" ref="F490:F491" si="49">SUM(D490*0.7)</f>
        <v>10499.3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9" t="s">
        <v>659</v>
      </c>
      <c r="B491" s="8" t="s">
        <v>660</v>
      </c>
      <c r="C491" s="13" t="s">
        <v>661</v>
      </c>
      <c r="D491" s="10">
        <v>14999.0</v>
      </c>
      <c r="E491" s="11">
        <f t="shared" si="48"/>
        <v>11999.2</v>
      </c>
      <c r="F491" s="11">
        <f t="shared" si="49"/>
        <v>10499.3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hidden="1" customHeight="1" outlineLevel="1">
      <c r="A492" s="9" t="s">
        <v>662</v>
      </c>
      <c r="B492" s="9" t="s">
        <v>256</v>
      </c>
      <c r="C492" s="13" t="s">
        <v>663</v>
      </c>
      <c r="D492" s="10">
        <v>2549.0</v>
      </c>
      <c r="E492" s="11">
        <f t="shared" si="48"/>
        <v>2039.2</v>
      </c>
      <c r="F492" s="7" t="s">
        <v>13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hidden="1" customHeight="1" outlineLevel="1">
      <c r="A493" s="9" t="s">
        <v>664</v>
      </c>
      <c r="B493" s="9" t="s">
        <v>259</v>
      </c>
      <c r="C493" s="13" t="s">
        <v>663</v>
      </c>
      <c r="D493" s="10">
        <v>4949.0</v>
      </c>
      <c r="E493" s="11">
        <f t="shared" si="48"/>
        <v>3959.2</v>
      </c>
      <c r="F493" s="7" t="s">
        <v>13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hidden="1" customHeight="1" outlineLevel="1">
      <c r="A494" s="13" t="s">
        <v>665</v>
      </c>
      <c r="B494" s="13" t="s">
        <v>69</v>
      </c>
      <c r="C494" s="13" t="s">
        <v>666</v>
      </c>
      <c r="D494" s="10">
        <v>3749.0</v>
      </c>
      <c r="E494" s="11">
        <f t="shared" si="48"/>
        <v>2999.2</v>
      </c>
      <c r="F494" s="7" t="s">
        <v>13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hidden="1" customHeight="1" outlineLevel="1">
      <c r="A495" s="13" t="s">
        <v>667</v>
      </c>
      <c r="B495" s="13" t="s">
        <v>72</v>
      </c>
      <c r="C495" s="13" t="s">
        <v>666</v>
      </c>
      <c r="D495" s="10">
        <v>6373.0</v>
      </c>
      <c r="E495" s="11">
        <f t="shared" si="48"/>
        <v>5098.4</v>
      </c>
      <c r="F495" s="7" t="s">
        <v>13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hidden="1" customHeight="1" outlineLevel="1">
      <c r="A496" s="13" t="s">
        <v>668</v>
      </c>
      <c r="B496" s="13" t="s">
        <v>74</v>
      </c>
      <c r="C496" s="13" t="s">
        <v>666</v>
      </c>
      <c r="D496" s="10">
        <v>10497.0</v>
      </c>
      <c r="E496" s="11">
        <f t="shared" si="48"/>
        <v>8397.6</v>
      </c>
      <c r="F496" s="7" t="s">
        <v>13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 collapsed="1">
      <c r="A497" s="19" t="s">
        <v>669</v>
      </c>
      <c r="B497" s="27"/>
      <c r="C497" s="27"/>
      <c r="D497" s="27"/>
      <c r="E497" s="27"/>
      <c r="F497" s="27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9" t="s">
        <v>670</v>
      </c>
      <c r="B498" s="8" t="s">
        <v>671</v>
      </c>
      <c r="C498" s="13" t="s">
        <v>672</v>
      </c>
      <c r="D498" s="10">
        <v>1499.0</v>
      </c>
      <c r="E498" s="11">
        <f t="shared" ref="E498:E511" si="50">SUM(D498*0.8)</f>
        <v>1199.2</v>
      </c>
      <c r="F498" s="10">
        <f>SUM(D498*0.7)</f>
        <v>1049.3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9" t="s">
        <v>673</v>
      </c>
      <c r="B499" s="8" t="s">
        <v>674</v>
      </c>
      <c r="C499" s="13" t="s">
        <v>675</v>
      </c>
      <c r="D499" s="10">
        <v>499.0</v>
      </c>
      <c r="E499" s="11">
        <f t="shared" si="50"/>
        <v>399.2</v>
      </c>
      <c r="F499" s="10" t="s">
        <v>13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hidden="1" customHeight="1" outlineLevel="1">
      <c r="A500" s="13" t="s">
        <v>676</v>
      </c>
      <c r="B500" s="13" t="s">
        <v>677</v>
      </c>
      <c r="C500" s="13" t="s">
        <v>678</v>
      </c>
      <c r="D500" s="10">
        <v>379.0</v>
      </c>
      <c r="E500" s="11">
        <f t="shared" si="50"/>
        <v>303.2</v>
      </c>
      <c r="F500" s="10" t="s">
        <v>13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hidden="1" customHeight="1" outlineLevel="1">
      <c r="A501" s="13" t="s">
        <v>679</v>
      </c>
      <c r="B501" s="13" t="s">
        <v>680</v>
      </c>
      <c r="C501" s="13" t="s">
        <v>678</v>
      </c>
      <c r="D501" s="10">
        <v>644.0</v>
      </c>
      <c r="E501" s="11">
        <f t="shared" si="50"/>
        <v>515.2</v>
      </c>
      <c r="F501" s="10" t="s">
        <v>13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hidden="1" customHeight="1" outlineLevel="1">
      <c r="A502" s="13" t="s">
        <v>681</v>
      </c>
      <c r="B502" s="13" t="s">
        <v>682</v>
      </c>
      <c r="C502" s="13" t="s">
        <v>678</v>
      </c>
      <c r="D502" s="10">
        <v>1061.0</v>
      </c>
      <c r="E502" s="11">
        <f t="shared" si="50"/>
        <v>848.8</v>
      </c>
      <c r="F502" s="10" t="s">
        <v>13</v>
      </c>
    </row>
    <row r="503" ht="15.75" hidden="1" customHeight="1" outlineLevel="1">
      <c r="A503" s="9" t="s">
        <v>683</v>
      </c>
      <c r="B503" s="9" t="s">
        <v>256</v>
      </c>
      <c r="C503" s="13" t="s">
        <v>684</v>
      </c>
      <c r="D503" s="10">
        <v>259.0</v>
      </c>
      <c r="E503" s="11">
        <f t="shared" si="50"/>
        <v>207.2</v>
      </c>
      <c r="F503" s="7" t="s">
        <v>13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hidden="1" customHeight="1" outlineLevel="1">
      <c r="A504" s="9" t="s">
        <v>685</v>
      </c>
      <c r="B504" s="9" t="s">
        <v>259</v>
      </c>
      <c r="C504" s="13" t="s">
        <v>684</v>
      </c>
      <c r="D504" s="10">
        <v>499.0</v>
      </c>
      <c r="E504" s="11">
        <f t="shared" si="50"/>
        <v>399.2</v>
      </c>
      <c r="F504" s="7" t="s">
        <v>13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hidden="1" customHeight="1" outlineLevel="1">
      <c r="A505" s="9" t="s">
        <v>686</v>
      </c>
      <c r="B505" s="9" t="s">
        <v>256</v>
      </c>
      <c r="C505" s="13" t="s">
        <v>687</v>
      </c>
      <c r="D505" s="10">
        <v>89.0</v>
      </c>
      <c r="E505" s="11">
        <f t="shared" si="50"/>
        <v>71.2</v>
      </c>
      <c r="F505" s="10" t="s">
        <v>13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hidden="1" customHeight="1" outlineLevel="1">
      <c r="A506" s="9" t="s">
        <v>688</v>
      </c>
      <c r="B506" s="9" t="s">
        <v>259</v>
      </c>
      <c r="C506" s="13" t="s">
        <v>687</v>
      </c>
      <c r="D506" s="10">
        <v>151.0</v>
      </c>
      <c r="E506" s="11">
        <f t="shared" si="50"/>
        <v>120.8</v>
      </c>
      <c r="F506" s="10" t="s">
        <v>13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hidden="1" customHeight="1" outlineLevel="1">
      <c r="A507" s="13" t="s">
        <v>415</v>
      </c>
      <c r="B507" s="9" t="s">
        <v>69</v>
      </c>
      <c r="C507" s="13" t="s">
        <v>689</v>
      </c>
      <c r="D507" s="10">
        <v>129.0</v>
      </c>
      <c r="E507" s="11">
        <f t="shared" si="50"/>
        <v>103.2</v>
      </c>
      <c r="F507" s="7" t="s">
        <v>13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hidden="1" customHeight="1" outlineLevel="1">
      <c r="A508" s="13" t="s">
        <v>417</v>
      </c>
      <c r="B508" s="9" t="s">
        <v>72</v>
      </c>
      <c r="C508" s="13" t="s">
        <v>689</v>
      </c>
      <c r="D508" s="10">
        <v>220.0</v>
      </c>
      <c r="E508" s="11">
        <f t="shared" si="50"/>
        <v>176</v>
      </c>
      <c r="F508" s="7" t="s">
        <v>13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hidden="1" customHeight="1" outlineLevel="1">
      <c r="A509" s="13" t="s">
        <v>418</v>
      </c>
      <c r="B509" s="9" t="s">
        <v>74</v>
      </c>
      <c r="C509" s="13" t="s">
        <v>689</v>
      </c>
      <c r="D509" s="10">
        <v>362.0</v>
      </c>
      <c r="E509" s="11">
        <f t="shared" si="50"/>
        <v>289.6</v>
      </c>
      <c r="F509" s="7" t="s">
        <v>13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hidden="1" customHeight="1" outlineLevel="1">
      <c r="A510" s="9" t="s">
        <v>690</v>
      </c>
      <c r="B510" s="9" t="s">
        <v>691</v>
      </c>
      <c r="C510" s="9" t="s">
        <v>692</v>
      </c>
      <c r="D510" s="10">
        <v>49.0</v>
      </c>
      <c r="E510" s="11">
        <f t="shared" si="50"/>
        <v>39.2</v>
      </c>
      <c r="F510" s="10" t="s">
        <v>13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hidden="1" customHeight="1" outlineLevel="1">
      <c r="A511" s="9" t="s">
        <v>693</v>
      </c>
      <c r="B511" s="9" t="s">
        <v>694</v>
      </c>
      <c r="C511" s="9" t="s">
        <v>692</v>
      </c>
      <c r="D511" s="10">
        <v>98.0</v>
      </c>
      <c r="E511" s="11">
        <f t="shared" si="50"/>
        <v>78.4</v>
      </c>
      <c r="F511" s="10" t="s">
        <v>13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 collapsed="1">
      <c r="A512" s="19" t="s">
        <v>695</v>
      </c>
      <c r="B512" s="31"/>
      <c r="C512" s="12"/>
      <c r="D512" s="36"/>
      <c r="E512" s="58" t="s">
        <v>696</v>
      </c>
      <c r="F512" s="15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9" t="s">
        <v>697</v>
      </c>
      <c r="B513" s="8" t="s">
        <v>698</v>
      </c>
      <c r="C513" s="13" t="s">
        <v>699</v>
      </c>
      <c r="D513" s="10">
        <v>3499.0</v>
      </c>
      <c r="E513" s="11">
        <f t="shared" ref="E513:E518" si="51">SUM(D513*0.8)</f>
        <v>2799.2</v>
      </c>
      <c r="F513" s="11">
        <f t="shared" ref="F513:F514" si="52">SUM(D513*0.7)</f>
        <v>2449.3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9" t="s">
        <v>700</v>
      </c>
      <c r="B514" s="8" t="s">
        <v>698</v>
      </c>
      <c r="C514" s="13" t="s">
        <v>701</v>
      </c>
      <c r="D514" s="10">
        <v>3499.0</v>
      </c>
      <c r="E514" s="11">
        <f t="shared" si="51"/>
        <v>2799.2</v>
      </c>
      <c r="F514" s="11">
        <f t="shared" si="52"/>
        <v>2449.3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hidden="1" customHeight="1" outlineLevel="1">
      <c r="A515" s="9" t="s">
        <v>702</v>
      </c>
      <c r="B515" s="9" t="s">
        <v>256</v>
      </c>
      <c r="C515" s="13" t="s">
        <v>703</v>
      </c>
      <c r="D515" s="10">
        <v>599.0</v>
      </c>
      <c r="E515" s="11">
        <f t="shared" si="51"/>
        <v>479.2</v>
      </c>
      <c r="F515" s="7" t="s">
        <v>13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hidden="1" customHeight="1" outlineLevel="1">
      <c r="A516" s="9" t="s">
        <v>704</v>
      </c>
      <c r="B516" s="9" t="s">
        <v>259</v>
      </c>
      <c r="C516" s="13" t="s">
        <v>703</v>
      </c>
      <c r="D516" s="10">
        <v>1159.0</v>
      </c>
      <c r="E516" s="11">
        <f t="shared" si="51"/>
        <v>927.2</v>
      </c>
      <c r="F516" s="7" t="s">
        <v>13</v>
      </c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hidden="1" customHeight="1" outlineLevel="1">
      <c r="A517" s="9" t="s">
        <v>705</v>
      </c>
      <c r="B517" s="9" t="s">
        <v>69</v>
      </c>
      <c r="C517" s="13" t="s">
        <v>706</v>
      </c>
      <c r="D517" s="10">
        <v>879.0</v>
      </c>
      <c r="E517" s="11">
        <f t="shared" si="51"/>
        <v>703.2</v>
      </c>
      <c r="F517" s="7" t="s">
        <v>13</v>
      </c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hidden="1" customHeight="1" outlineLevel="1">
      <c r="A518" s="9" t="s">
        <v>707</v>
      </c>
      <c r="B518" s="9" t="s">
        <v>72</v>
      </c>
      <c r="C518" s="13" t="s">
        <v>706</v>
      </c>
      <c r="D518" s="10">
        <v>1494.0</v>
      </c>
      <c r="E518" s="11">
        <f t="shared" si="51"/>
        <v>1195.2</v>
      </c>
      <c r="F518" s="7" t="s">
        <v>13</v>
      </c>
    </row>
    <row r="519" ht="15.75" hidden="1" customHeight="1" outlineLevel="1">
      <c r="A519" s="9" t="s">
        <v>708</v>
      </c>
      <c r="B519" s="9" t="s">
        <v>74</v>
      </c>
      <c r="C519" s="13" t="s">
        <v>706</v>
      </c>
      <c r="D519" s="10">
        <v>2461.0</v>
      </c>
      <c r="E519" s="11"/>
      <c r="F519" s="7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 collapsed="1">
      <c r="A520" s="19" t="s">
        <v>709</v>
      </c>
      <c r="B520" s="27"/>
      <c r="C520" s="27"/>
      <c r="D520" s="27"/>
      <c r="E520" s="27"/>
      <c r="F520" s="27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9" t="s">
        <v>710</v>
      </c>
      <c r="B521" s="8" t="s">
        <v>711</v>
      </c>
      <c r="C521" s="9" t="s">
        <v>712</v>
      </c>
      <c r="D521" s="10">
        <v>399.0</v>
      </c>
      <c r="E521" s="11">
        <f t="shared" ref="E521:E532" si="53">SUM(D521*0.8)</f>
        <v>319.2</v>
      </c>
      <c r="F521" s="11">
        <f t="shared" ref="F521:F525" si="54">SUM(D521*0.7)</f>
        <v>279.3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9" t="s">
        <v>713</v>
      </c>
      <c r="B522" s="8" t="s">
        <v>711</v>
      </c>
      <c r="C522" s="9" t="s">
        <v>714</v>
      </c>
      <c r="D522" s="10">
        <v>599.0</v>
      </c>
      <c r="E522" s="11">
        <f t="shared" si="53"/>
        <v>479.2</v>
      </c>
      <c r="F522" s="11">
        <f t="shared" si="54"/>
        <v>419.3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hidden="1" customHeight="1" outlineLevel="1">
      <c r="A523" s="13" t="s">
        <v>715</v>
      </c>
      <c r="B523" s="13" t="s">
        <v>69</v>
      </c>
      <c r="C523" s="13" t="s">
        <v>716</v>
      </c>
      <c r="D523" s="10">
        <v>99.0</v>
      </c>
      <c r="E523" s="11">
        <f t="shared" si="53"/>
        <v>79.2</v>
      </c>
      <c r="F523" s="11">
        <f t="shared" si="54"/>
        <v>69.3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hidden="1" customHeight="1" outlineLevel="1">
      <c r="A524" s="13" t="s">
        <v>717</v>
      </c>
      <c r="B524" s="13" t="s">
        <v>72</v>
      </c>
      <c r="C524" s="13" t="s">
        <v>716</v>
      </c>
      <c r="D524" s="10">
        <v>168.0</v>
      </c>
      <c r="E524" s="11">
        <f t="shared" si="53"/>
        <v>134.4</v>
      </c>
      <c r="F524" s="11">
        <f t="shared" si="54"/>
        <v>117.6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hidden="1" customHeight="1" outlineLevel="1">
      <c r="A525" s="13" t="s">
        <v>718</v>
      </c>
      <c r="B525" s="13" t="s">
        <v>74</v>
      </c>
      <c r="C525" s="13" t="s">
        <v>716</v>
      </c>
      <c r="D525" s="10">
        <v>277.0</v>
      </c>
      <c r="E525" s="11">
        <f t="shared" si="53"/>
        <v>221.6</v>
      </c>
      <c r="F525" s="11">
        <f t="shared" si="54"/>
        <v>193.9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hidden="1" customHeight="1" outlineLevel="1">
      <c r="A526" s="9" t="s">
        <v>719</v>
      </c>
      <c r="B526" s="9" t="s">
        <v>256</v>
      </c>
      <c r="C526" s="13" t="s">
        <v>720</v>
      </c>
      <c r="D526" s="10">
        <v>79.0</v>
      </c>
      <c r="E526" s="11">
        <f t="shared" si="53"/>
        <v>63.2</v>
      </c>
      <c r="F526" s="7" t="s">
        <v>13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hidden="1" customHeight="1" outlineLevel="1">
      <c r="A527" s="9" t="s">
        <v>721</v>
      </c>
      <c r="B527" s="9" t="s">
        <v>259</v>
      </c>
      <c r="C527" s="13" t="s">
        <v>720</v>
      </c>
      <c r="D527" s="10">
        <v>139.0</v>
      </c>
      <c r="E527" s="11">
        <f t="shared" si="53"/>
        <v>111.2</v>
      </c>
      <c r="F527" s="7" t="s">
        <v>13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hidden="1" customHeight="1" outlineLevel="1">
      <c r="A528" s="9" t="s">
        <v>722</v>
      </c>
      <c r="B528" s="9" t="s">
        <v>723</v>
      </c>
      <c r="C528" s="13" t="s">
        <v>724</v>
      </c>
      <c r="D528" s="10">
        <v>299.0</v>
      </c>
      <c r="E528" s="11">
        <f t="shared" si="53"/>
        <v>239.2</v>
      </c>
      <c r="F528" s="7" t="s">
        <v>13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hidden="1" customHeight="1" outlineLevel="1">
      <c r="A529" s="9" t="s">
        <v>725</v>
      </c>
      <c r="B529" s="9" t="s">
        <v>726</v>
      </c>
      <c r="C529" s="13" t="s">
        <v>727</v>
      </c>
      <c r="D529" s="10">
        <v>249.0</v>
      </c>
      <c r="E529" s="11">
        <f t="shared" si="53"/>
        <v>199.2</v>
      </c>
      <c r="F529" s="7" t="s">
        <v>13</v>
      </c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hidden="1" customHeight="1" outlineLevel="1">
      <c r="A530" s="9" t="s">
        <v>728</v>
      </c>
      <c r="B530" s="9" t="s">
        <v>729</v>
      </c>
      <c r="C530" s="13" t="s">
        <v>730</v>
      </c>
      <c r="D530" s="10">
        <v>499.0</v>
      </c>
      <c r="E530" s="11">
        <f t="shared" si="53"/>
        <v>399.2</v>
      </c>
      <c r="F530" s="7" t="s">
        <v>13</v>
      </c>
    </row>
    <row r="531" ht="15.75" hidden="1" customHeight="1" outlineLevel="1">
      <c r="A531" s="9" t="s">
        <v>731</v>
      </c>
      <c r="B531" s="9" t="s">
        <v>732</v>
      </c>
      <c r="C531" s="13" t="s">
        <v>733</v>
      </c>
      <c r="D531" s="10">
        <v>29.0</v>
      </c>
      <c r="E531" s="11">
        <f t="shared" si="53"/>
        <v>23.2</v>
      </c>
      <c r="F531" s="7" t="s">
        <v>13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hidden="1" customHeight="1" outlineLevel="1">
      <c r="A532" s="9" t="s">
        <v>734</v>
      </c>
      <c r="B532" s="9" t="s">
        <v>735</v>
      </c>
      <c r="C532" s="13" t="s">
        <v>736</v>
      </c>
      <c r="D532" s="10">
        <v>49.0</v>
      </c>
      <c r="E532" s="11">
        <f t="shared" si="53"/>
        <v>39.2</v>
      </c>
      <c r="F532" s="7" t="s">
        <v>13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 collapsed="1">
      <c r="A533" s="19" t="s">
        <v>737</v>
      </c>
      <c r="B533" s="27"/>
      <c r="C533" s="27"/>
      <c r="D533" s="27"/>
      <c r="E533" s="27"/>
      <c r="F533" s="27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7" t="s">
        <v>738</v>
      </c>
      <c r="B534" s="46" t="s">
        <v>739</v>
      </c>
      <c r="C534" s="7" t="s">
        <v>740</v>
      </c>
      <c r="D534" s="14">
        <v>199.0</v>
      </c>
      <c r="E534" s="14">
        <f>D534*0.8</f>
        <v>159.2</v>
      </c>
      <c r="F534" s="14">
        <f>D534*0.7</f>
        <v>139.3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7" t="s">
        <v>741</v>
      </c>
      <c r="B535" s="46" t="s">
        <v>742</v>
      </c>
      <c r="C535" s="7" t="s">
        <v>743</v>
      </c>
      <c r="D535" s="14">
        <v>349.0</v>
      </c>
      <c r="E535" s="14">
        <f t="shared" ref="E535:E536" si="55">D535*0.95</f>
        <v>331.55</v>
      </c>
      <c r="F535" s="14">
        <f t="shared" ref="F535:F536" si="56">D535*0.9</f>
        <v>314.1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7" t="s">
        <v>744</v>
      </c>
      <c r="B536" s="46" t="s">
        <v>742</v>
      </c>
      <c r="C536" s="7" t="s">
        <v>743</v>
      </c>
      <c r="D536" s="14">
        <v>349.0</v>
      </c>
      <c r="E536" s="14">
        <f t="shared" si="55"/>
        <v>331.55</v>
      </c>
      <c r="F536" s="14">
        <f t="shared" si="56"/>
        <v>314.1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hidden="1" customHeight="1" outlineLevel="1">
      <c r="A537" s="7" t="s">
        <v>745</v>
      </c>
      <c r="B537" s="9" t="s">
        <v>11</v>
      </c>
      <c r="C537" s="13" t="s">
        <v>746</v>
      </c>
      <c r="D537" s="10">
        <v>29.0</v>
      </c>
      <c r="E537" s="11">
        <f t="shared" ref="E537:E542" si="57">D537*0.8</f>
        <v>23.2</v>
      </c>
      <c r="F537" s="7" t="s">
        <v>13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hidden="1" customHeight="1" outlineLevel="1">
      <c r="A538" s="7" t="s">
        <v>747</v>
      </c>
      <c r="B538" s="9" t="s">
        <v>15</v>
      </c>
      <c r="C538" s="13" t="s">
        <v>746</v>
      </c>
      <c r="D538" s="10">
        <v>58.0</v>
      </c>
      <c r="E538" s="11">
        <f t="shared" si="57"/>
        <v>46.4</v>
      </c>
      <c r="F538" s="7" t="s">
        <v>13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hidden="1" customHeight="1" outlineLevel="1">
      <c r="A539" s="7" t="s">
        <v>748</v>
      </c>
      <c r="B539" s="9" t="s">
        <v>17</v>
      </c>
      <c r="C539" s="13" t="s">
        <v>746</v>
      </c>
      <c r="D539" s="10">
        <v>116.0</v>
      </c>
      <c r="E539" s="11">
        <f t="shared" si="57"/>
        <v>92.8</v>
      </c>
      <c r="F539" s="7" t="s">
        <v>13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hidden="1" customHeight="1" outlineLevel="1">
      <c r="A540" s="7" t="s">
        <v>749</v>
      </c>
      <c r="B540" s="13" t="s">
        <v>19</v>
      </c>
      <c r="C540" s="13" t="s">
        <v>746</v>
      </c>
      <c r="D540" s="10">
        <v>39.0</v>
      </c>
      <c r="E540" s="11">
        <f t="shared" si="57"/>
        <v>31.2</v>
      </c>
      <c r="F540" s="7" t="s">
        <v>13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hidden="1" customHeight="1" outlineLevel="1">
      <c r="A541" s="7" t="s">
        <v>750</v>
      </c>
      <c r="B541" s="13" t="s">
        <v>22</v>
      </c>
      <c r="C541" s="13" t="s">
        <v>746</v>
      </c>
      <c r="D541" s="10">
        <v>68.0</v>
      </c>
      <c r="E541" s="11">
        <f t="shared" si="57"/>
        <v>54.4</v>
      </c>
      <c r="F541" s="7" t="s">
        <v>13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hidden="1" customHeight="1" outlineLevel="1">
      <c r="A542" s="7" t="s">
        <v>751</v>
      </c>
      <c r="B542" s="13" t="s">
        <v>24</v>
      </c>
      <c r="C542" s="13" t="s">
        <v>746</v>
      </c>
      <c r="D542" s="10">
        <v>109.0</v>
      </c>
      <c r="E542" s="11">
        <f t="shared" si="57"/>
        <v>87.2</v>
      </c>
      <c r="F542" s="7" t="s">
        <v>13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hidden="1" customHeight="1" outlineLevel="1">
      <c r="A543" s="7" t="s">
        <v>752</v>
      </c>
      <c r="B543" s="9" t="s">
        <v>256</v>
      </c>
      <c r="C543" s="7" t="s">
        <v>753</v>
      </c>
      <c r="D543" s="10">
        <v>69.0</v>
      </c>
      <c r="E543" s="11">
        <f t="shared" ref="E543:E549" si="58">SUM(D543*0.8)</f>
        <v>55.2</v>
      </c>
      <c r="F543" s="7" t="s">
        <v>13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hidden="1" customHeight="1" outlineLevel="1">
      <c r="A544" s="7" t="s">
        <v>754</v>
      </c>
      <c r="B544" s="9" t="s">
        <v>259</v>
      </c>
      <c r="C544" s="7" t="s">
        <v>753</v>
      </c>
      <c r="D544" s="10">
        <v>119.0</v>
      </c>
      <c r="E544" s="11">
        <f t="shared" si="58"/>
        <v>95.2</v>
      </c>
      <c r="F544" s="7" t="s">
        <v>13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hidden="1" customHeight="1" outlineLevel="1">
      <c r="A545" s="13" t="s">
        <v>755</v>
      </c>
      <c r="B545" s="9" t="s">
        <v>69</v>
      </c>
      <c r="C545" s="7" t="s">
        <v>756</v>
      </c>
      <c r="D545" s="10">
        <v>89.0</v>
      </c>
      <c r="E545" s="11">
        <f t="shared" si="58"/>
        <v>71.2</v>
      </c>
      <c r="F545" s="7" t="s">
        <v>13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hidden="1" customHeight="1" outlineLevel="1">
      <c r="A546" s="13" t="s">
        <v>757</v>
      </c>
      <c r="B546" s="9" t="s">
        <v>72</v>
      </c>
      <c r="C546" s="7" t="s">
        <v>756</v>
      </c>
      <c r="D546" s="10">
        <v>152.0</v>
      </c>
      <c r="E546" s="11">
        <f t="shared" si="58"/>
        <v>121.6</v>
      </c>
      <c r="F546" s="7" t="s">
        <v>13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hidden="1" customHeight="1" outlineLevel="1">
      <c r="A547" s="13" t="s">
        <v>758</v>
      </c>
      <c r="B547" s="9" t="s">
        <v>74</v>
      </c>
      <c r="C547" s="7" t="s">
        <v>756</v>
      </c>
      <c r="D547" s="10">
        <v>250.0</v>
      </c>
      <c r="E547" s="11">
        <f t="shared" si="58"/>
        <v>200</v>
      </c>
      <c r="F547" s="7" t="s">
        <v>13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hidden="1" customHeight="1" outlineLevel="1">
      <c r="A548" s="9" t="s">
        <v>731</v>
      </c>
      <c r="B548" s="9" t="s">
        <v>732</v>
      </c>
      <c r="C548" s="13" t="s">
        <v>759</v>
      </c>
      <c r="D548" s="10">
        <v>29.0</v>
      </c>
      <c r="E548" s="11">
        <f t="shared" si="58"/>
        <v>23.2</v>
      </c>
      <c r="F548" s="7" t="s">
        <v>13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hidden="1" customHeight="1" outlineLevel="1">
      <c r="A549" s="9" t="s">
        <v>734</v>
      </c>
      <c r="B549" s="9" t="s">
        <v>735</v>
      </c>
      <c r="C549" s="13" t="s">
        <v>759</v>
      </c>
      <c r="D549" s="10">
        <v>49.0</v>
      </c>
      <c r="E549" s="11">
        <f t="shared" si="58"/>
        <v>39.2</v>
      </c>
      <c r="F549" s="7" t="s">
        <v>13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 collapsed="1">
      <c r="A550" s="19" t="s">
        <v>760</v>
      </c>
      <c r="B550" s="31"/>
      <c r="C550" s="12"/>
      <c r="D550" s="36"/>
      <c r="E550" s="37"/>
      <c r="F550" s="15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23" t="s">
        <v>761</v>
      </c>
      <c r="B551" s="24"/>
      <c r="C551" s="24"/>
      <c r="D551" s="24"/>
      <c r="E551" s="25"/>
      <c r="F551" s="24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9" t="s">
        <v>762</v>
      </c>
      <c r="B552" s="8" t="s">
        <v>763</v>
      </c>
      <c r="C552" s="9" t="s">
        <v>764</v>
      </c>
      <c r="D552" s="10">
        <v>6999.0</v>
      </c>
      <c r="E552" s="11">
        <f t="shared" ref="E552:E561" si="59">SUM(D552*0.8)</f>
        <v>5599.2</v>
      </c>
      <c r="F552" s="11">
        <f>SUM(D552*0.7)</f>
        <v>4899.3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hidden="1" customHeight="1" outlineLevel="1">
      <c r="A553" s="13" t="s">
        <v>765</v>
      </c>
      <c r="B553" s="13" t="s">
        <v>69</v>
      </c>
      <c r="C553" s="13" t="s">
        <v>766</v>
      </c>
      <c r="D553" s="10">
        <v>1749.0</v>
      </c>
      <c r="E553" s="11">
        <f t="shared" si="59"/>
        <v>1399.2</v>
      </c>
      <c r="F553" s="7" t="s">
        <v>13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hidden="1" customHeight="1" outlineLevel="1">
      <c r="A554" s="13" t="s">
        <v>767</v>
      </c>
      <c r="B554" s="13" t="s">
        <v>72</v>
      </c>
      <c r="C554" s="13" t="s">
        <v>766</v>
      </c>
      <c r="D554" s="10">
        <v>2973.0</v>
      </c>
      <c r="E554" s="11">
        <f t="shared" si="59"/>
        <v>2378.4</v>
      </c>
      <c r="F554" s="7" t="s">
        <v>13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hidden="1" customHeight="1" outlineLevel="1">
      <c r="A555" s="13" t="s">
        <v>768</v>
      </c>
      <c r="B555" s="13" t="s">
        <v>74</v>
      </c>
      <c r="C555" s="13" t="s">
        <v>766</v>
      </c>
      <c r="D555" s="10">
        <v>4897.0</v>
      </c>
      <c r="E555" s="11">
        <f t="shared" si="59"/>
        <v>3917.6</v>
      </c>
      <c r="F555" s="7" t="s">
        <v>13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hidden="1" customHeight="1" outlineLevel="1">
      <c r="A556" s="9" t="s">
        <v>769</v>
      </c>
      <c r="B556" s="9" t="s">
        <v>256</v>
      </c>
      <c r="C556" s="13" t="s">
        <v>770</v>
      </c>
      <c r="D556" s="10">
        <v>1198.0</v>
      </c>
      <c r="E556" s="11">
        <f t="shared" si="59"/>
        <v>958.4</v>
      </c>
      <c r="F556" s="7" t="s">
        <v>13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hidden="1" customHeight="1" outlineLevel="1">
      <c r="A557" s="9" t="s">
        <v>771</v>
      </c>
      <c r="B557" s="9" t="s">
        <v>259</v>
      </c>
      <c r="C557" s="13" t="s">
        <v>770</v>
      </c>
      <c r="D557" s="10">
        <v>2319.0</v>
      </c>
      <c r="E557" s="11">
        <f t="shared" si="59"/>
        <v>1855.2</v>
      </c>
      <c r="F557" s="7" t="s">
        <v>13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hidden="1" customHeight="1" outlineLevel="1">
      <c r="A558" s="9" t="s">
        <v>235</v>
      </c>
      <c r="B558" s="9" t="s">
        <v>539</v>
      </c>
      <c r="C558" s="13" t="s">
        <v>772</v>
      </c>
      <c r="D558" s="10">
        <v>999.0</v>
      </c>
      <c r="E558" s="11">
        <f t="shared" si="59"/>
        <v>799.2</v>
      </c>
      <c r="F558" s="7" t="s">
        <v>13</v>
      </c>
    </row>
    <row r="559" ht="15.75" hidden="1" customHeight="1" outlineLevel="1">
      <c r="A559" s="9" t="s">
        <v>25</v>
      </c>
      <c r="B559" s="13" t="s">
        <v>26</v>
      </c>
      <c r="C559" s="9" t="s">
        <v>80</v>
      </c>
      <c r="D559" s="10">
        <v>20.0</v>
      </c>
      <c r="E559" s="11">
        <f t="shared" si="59"/>
        <v>16</v>
      </c>
      <c r="F559" s="7" t="s">
        <v>13</v>
      </c>
      <c r="G559" s="12"/>
    </row>
    <row r="560" ht="15.75" hidden="1" customHeight="1" outlineLevel="1">
      <c r="A560" s="9" t="s">
        <v>28</v>
      </c>
      <c r="B560" s="13" t="s">
        <v>29</v>
      </c>
      <c r="C560" s="9" t="s">
        <v>30</v>
      </c>
      <c r="D560" s="10">
        <v>40.0</v>
      </c>
      <c r="E560" s="11">
        <f t="shared" si="59"/>
        <v>32</v>
      </c>
      <c r="F560" s="7" t="s">
        <v>13</v>
      </c>
      <c r="G560" s="12"/>
    </row>
    <row r="561" ht="15.75" hidden="1" customHeight="1" outlineLevel="1">
      <c r="A561" s="9" t="s">
        <v>31</v>
      </c>
      <c r="B561" s="13" t="s">
        <v>32</v>
      </c>
      <c r="C561" s="9" t="s">
        <v>81</v>
      </c>
      <c r="D561" s="10">
        <v>60.0</v>
      </c>
      <c r="E561" s="11">
        <f t="shared" si="59"/>
        <v>48</v>
      </c>
      <c r="F561" s="7" t="s">
        <v>13</v>
      </c>
      <c r="G561" s="12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 collapsed="1">
      <c r="A562" s="19" t="s">
        <v>773</v>
      </c>
      <c r="B562" s="27"/>
      <c r="C562" s="27"/>
      <c r="D562" s="27"/>
      <c r="E562" s="27"/>
      <c r="F562" s="27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9" t="s">
        <v>774</v>
      </c>
      <c r="B563" s="8" t="s">
        <v>775</v>
      </c>
      <c r="C563" s="9" t="s">
        <v>776</v>
      </c>
      <c r="D563" s="11">
        <v>2799.0</v>
      </c>
      <c r="E563" s="11">
        <f t="shared" ref="E563:E587" si="60">SUM(D563*0.8)</f>
        <v>2239.2</v>
      </c>
      <c r="F563" s="11">
        <f t="shared" ref="F563:F564" si="61">SUM(D563*0.7)</f>
        <v>1959.3</v>
      </c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9" t="s">
        <v>777</v>
      </c>
      <c r="B564" s="8" t="s">
        <v>671</v>
      </c>
      <c r="C564" s="13" t="s">
        <v>778</v>
      </c>
      <c r="D564" s="10">
        <v>999.0</v>
      </c>
      <c r="E564" s="11">
        <f t="shared" si="60"/>
        <v>799.2</v>
      </c>
      <c r="F564" s="11">
        <f t="shared" si="61"/>
        <v>699.3</v>
      </c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9" t="s">
        <v>673</v>
      </c>
      <c r="B565" s="8" t="s">
        <v>674</v>
      </c>
      <c r="C565" s="13" t="s">
        <v>675</v>
      </c>
      <c r="D565" s="10">
        <v>499.0</v>
      </c>
      <c r="E565" s="11">
        <f t="shared" si="60"/>
        <v>399.2</v>
      </c>
      <c r="F565" s="11" t="s">
        <v>13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hidden="1" customHeight="1" outlineLevel="1">
      <c r="A566" s="7" t="s">
        <v>779</v>
      </c>
      <c r="B566" s="9" t="s">
        <v>256</v>
      </c>
      <c r="C566" s="13" t="s">
        <v>780</v>
      </c>
      <c r="D566" s="10">
        <v>469.0</v>
      </c>
      <c r="E566" s="11">
        <f t="shared" si="60"/>
        <v>375.2</v>
      </c>
      <c r="F566" s="10" t="s">
        <v>13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hidden="1" customHeight="1" outlineLevel="1">
      <c r="A567" s="7" t="s">
        <v>781</v>
      </c>
      <c r="B567" s="9" t="s">
        <v>259</v>
      </c>
      <c r="C567" s="13" t="s">
        <v>780</v>
      </c>
      <c r="D567" s="10">
        <v>899.0</v>
      </c>
      <c r="E567" s="11">
        <f t="shared" si="60"/>
        <v>719.2</v>
      </c>
      <c r="F567" s="10" t="s">
        <v>13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hidden="1" customHeight="1" outlineLevel="1">
      <c r="A568" s="7" t="s">
        <v>782</v>
      </c>
      <c r="B568" s="9" t="s">
        <v>783</v>
      </c>
      <c r="C568" s="13" t="s">
        <v>780</v>
      </c>
      <c r="D568" s="10">
        <v>1313.0</v>
      </c>
      <c r="E568" s="11">
        <f t="shared" si="60"/>
        <v>1050.4</v>
      </c>
      <c r="F568" s="10" t="s">
        <v>13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hidden="1" customHeight="1" outlineLevel="1">
      <c r="A569" s="13" t="s">
        <v>784</v>
      </c>
      <c r="B569" s="13" t="s">
        <v>69</v>
      </c>
      <c r="C569" s="13" t="s">
        <v>785</v>
      </c>
      <c r="D569" s="14">
        <v>699.0</v>
      </c>
      <c r="E569" s="11">
        <f t="shared" si="60"/>
        <v>559.2</v>
      </c>
      <c r="F569" s="10" t="s">
        <v>13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hidden="1" customHeight="1" outlineLevel="1">
      <c r="A570" s="13" t="s">
        <v>786</v>
      </c>
      <c r="B570" s="13" t="s">
        <v>72</v>
      </c>
      <c r="C570" s="13" t="s">
        <v>785</v>
      </c>
      <c r="D570" s="14">
        <v>1188.0</v>
      </c>
      <c r="E570" s="11">
        <f t="shared" si="60"/>
        <v>950.4</v>
      </c>
      <c r="F570" s="10" t="s">
        <v>13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hidden="1" customHeight="1" outlineLevel="1">
      <c r="A571" s="13" t="s">
        <v>787</v>
      </c>
      <c r="B571" s="13" t="s">
        <v>74</v>
      </c>
      <c r="C571" s="13" t="s">
        <v>785</v>
      </c>
      <c r="D571" s="14">
        <v>1957.0</v>
      </c>
      <c r="E571" s="11">
        <f t="shared" si="60"/>
        <v>1565.6</v>
      </c>
      <c r="F571" s="10" t="s">
        <v>13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hidden="1" customHeight="1" outlineLevel="1">
      <c r="A572" s="9" t="s">
        <v>235</v>
      </c>
      <c r="B572" s="9" t="s">
        <v>539</v>
      </c>
      <c r="C572" s="13" t="s">
        <v>772</v>
      </c>
      <c r="D572" s="10">
        <v>999.0</v>
      </c>
      <c r="E572" s="11">
        <f t="shared" si="60"/>
        <v>799.2</v>
      </c>
      <c r="F572" s="7" t="s">
        <v>13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hidden="1" customHeight="1" outlineLevel="1">
      <c r="A573" s="13" t="s">
        <v>676</v>
      </c>
      <c r="B573" s="13" t="s">
        <v>677</v>
      </c>
      <c r="C573" s="13" t="s">
        <v>678</v>
      </c>
      <c r="D573" s="10">
        <v>379.0</v>
      </c>
      <c r="E573" s="11">
        <f t="shared" si="60"/>
        <v>303.2</v>
      </c>
      <c r="F573" s="10" t="s">
        <v>13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hidden="1" customHeight="1" outlineLevel="1">
      <c r="A574" s="13" t="s">
        <v>679</v>
      </c>
      <c r="B574" s="13" t="s">
        <v>680</v>
      </c>
      <c r="C574" s="13" t="s">
        <v>678</v>
      </c>
      <c r="D574" s="10">
        <v>644.0</v>
      </c>
      <c r="E574" s="11">
        <f t="shared" si="60"/>
        <v>515.2</v>
      </c>
      <c r="F574" s="10" t="s">
        <v>13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hidden="1" customHeight="1" outlineLevel="1">
      <c r="A575" s="13" t="s">
        <v>681</v>
      </c>
      <c r="B575" s="13" t="s">
        <v>682</v>
      </c>
      <c r="C575" s="13" t="s">
        <v>678</v>
      </c>
      <c r="D575" s="10">
        <v>1061.0</v>
      </c>
      <c r="E575" s="11">
        <f t="shared" si="60"/>
        <v>848.8</v>
      </c>
      <c r="F575" s="10" t="s">
        <v>13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hidden="1" customHeight="1" outlineLevel="1">
      <c r="A576" s="9" t="s">
        <v>683</v>
      </c>
      <c r="B576" s="9" t="s">
        <v>256</v>
      </c>
      <c r="C576" s="13" t="s">
        <v>684</v>
      </c>
      <c r="D576" s="10">
        <v>259.0</v>
      </c>
      <c r="E576" s="11">
        <f t="shared" si="60"/>
        <v>207.2</v>
      </c>
      <c r="F576" s="7" t="s">
        <v>13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hidden="1" customHeight="1" outlineLevel="1">
      <c r="A577" s="9" t="s">
        <v>685</v>
      </c>
      <c r="B577" s="9" t="s">
        <v>259</v>
      </c>
      <c r="C577" s="13" t="s">
        <v>788</v>
      </c>
      <c r="D577" s="10">
        <v>499.0</v>
      </c>
      <c r="E577" s="11">
        <f t="shared" si="60"/>
        <v>399.2</v>
      </c>
      <c r="F577" s="7" t="s">
        <v>13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hidden="1" customHeight="1" outlineLevel="1">
      <c r="A578" s="9" t="s">
        <v>686</v>
      </c>
      <c r="B578" s="9" t="s">
        <v>256</v>
      </c>
      <c r="C578" s="13" t="s">
        <v>789</v>
      </c>
      <c r="D578" s="10">
        <v>89.0</v>
      </c>
      <c r="E578" s="11">
        <f t="shared" si="60"/>
        <v>71.2</v>
      </c>
      <c r="F578" s="10" t="s">
        <v>13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hidden="1" customHeight="1" outlineLevel="1">
      <c r="A579" s="9" t="s">
        <v>688</v>
      </c>
      <c r="B579" s="9" t="s">
        <v>259</v>
      </c>
      <c r="C579" s="13" t="s">
        <v>789</v>
      </c>
      <c r="D579" s="10">
        <v>151.0</v>
      </c>
      <c r="E579" s="11">
        <f t="shared" si="60"/>
        <v>120.8</v>
      </c>
      <c r="F579" s="10" t="s">
        <v>13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hidden="1" customHeight="1" outlineLevel="1">
      <c r="A580" s="9" t="s">
        <v>690</v>
      </c>
      <c r="B580" s="9" t="s">
        <v>691</v>
      </c>
      <c r="C580" s="9" t="s">
        <v>692</v>
      </c>
      <c r="D580" s="10">
        <v>49.0</v>
      </c>
      <c r="E580" s="11">
        <f t="shared" si="60"/>
        <v>39.2</v>
      </c>
      <c r="F580" s="10" t="s">
        <v>13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hidden="1" customHeight="1" outlineLevel="1">
      <c r="A581" s="9" t="s">
        <v>693</v>
      </c>
      <c r="B581" s="9" t="s">
        <v>694</v>
      </c>
      <c r="C581" s="9" t="s">
        <v>692</v>
      </c>
      <c r="D581" s="10">
        <v>98.0</v>
      </c>
      <c r="E581" s="11">
        <f t="shared" si="60"/>
        <v>78.4</v>
      </c>
      <c r="F581" s="10" t="s">
        <v>13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hidden="1" customHeight="1" outlineLevel="1">
      <c r="A582" s="9" t="s">
        <v>25</v>
      </c>
      <c r="B582" s="13" t="s">
        <v>26</v>
      </c>
      <c r="C582" s="9" t="s">
        <v>80</v>
      </c>
      <c r="D582" s="10">
        <v>20.0</v>
      </c>
      <c r="E582" s="11">
        <f t="shared" si="60"/>
        <v>16</v>
      </c>
      <c r="F582" s="7" t="s">
        <v>13</v>
      </c>
      <c r="G582" s="12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hidden="1" customHeight="1" outlineLevel="1">
      <c r="A583" s="9" t="s">
        <v>28</v>
      </c>
      <c r="B583" s="13" t="s">
        <v>29</v>
      </c>
      <c r="C583" s="9" t="s">
        <v>30</v>
      </c>
      <c r="D583" s="10">
        <v>40.0</v>
      </c>
      <c r="E583" s="11">
        <f t="shared" si="60"/>
        <v>32</v>
      </c>
      <c r="F583" s="7" t="s">
        <v>13</v>
      </c>
      <c r="G583" s="12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hidden="1" customHeight="1" outlineLevel="1">
      <c r="A584" s="9" t="s">
        <v>31</v>
      </c>
      <c r="B584" s="13" t="s">
        <v>32</v>
      </c>
      <c r="C584" s="9" t="s">
        <v>81</v>
      </c>
      <c r="D584" s="10">
        <v>60.0</v>
      </c>
      <c r="E584" s="11">
        <f t="shared" si="60"/>
        <v>48</v>
      </c>
      <c r="F584" s="7" t="s">
        <v>13</v>
      </c>
      <c r="G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hidden="1" customHeight="1" outlineLevel="1">
      <c r="A585" s="9" t="s">
        <v>33</v>
      </c>
      <c r="B585" s="9" t="s">
        <v>34</v>
      </c>
      <c r="C585" s="13" t="s">
        <v>35</v>
      </c>
      <c r="D585" s="10">
        <v>200.0</v>
      </c>
      <c r="E585" s="11">
        <f t="shared" si="60"/>
        <v>160</v>
      </c>
      <c r="F585" s="7" t="s">
        <v>13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hidden="1" customHeight="1" outlineLevel="1">
      <c r="A586" s="13" t="s">
        <v>36</v>
      </c>
      <c r="B586" s="13" t="s">
        <v>34</v>
      </c>
      <c r="C586" s="13" t="s">
        <v>37</v>
      </c>
      <c r="D586" s="10">
        <v>400.0</v>
      </c>
      <c r="E586" s="11">
        <f t="shared" si="60"/>
        <v>320</v>
      </c>
      <c r="F586" s="7" t="s">
        <v>13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hidden="1" customHeight="1" outlineLevel="1">
      <c r="A587" s="13" t="s">
        <v>38</v>
      </c>
      <c r="B587" s="13" t="s">
        <v>34</v>
      </c>
      <c r="C587" s="13" t="s">
        <v>39</v>
      </c>
      <c r="D587" s="10">
        <v>600.0</v>
      </c>
      <c r="E587" s="11">
        <f t="shared" si="60"/>
        <v>480</v>
      </c>
      <c r="F587" s="7" t="s">
        <v>13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 collapsed="1">
      <c r="A588" s="19" t="s">
        <v>790</v>
      </c>
      <c r="B588" s="16"/>
      <c r="C588" s="16"/>
      <c r="D588" s="16"/>
      <c r="E588" s="16"/>
      <c r="F588" s="16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9" t="s">
        <v>791</v>
      </c>
      <c r="B589" s="8" t="s">
        <v>792</v>
      </c>
      <c r="C589" s="9" t="s">
        <v>793</v>
      </c>
      <c r="D589" s="11">
        <v>7999.0</v>
      </c>
      <c r="E589" s="11">
        <f t="shared" ref="E589:E613" si="62">SUM(D589*0.8)</f>
        <v>6399.2</v>
      </c>
      <c r="F589" s="11">
        <f t="shared" ref="F589:F590" si="63">SUM(D589*0.7)</f>
        <v>5599.3</v>
      </c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9" t="s">
        <v>777</v>
      </c>
      <c r="B590" s="8" t="s">
        <v>671</v>
      </c>
      <c r="C590" s="13" t="s">
        <v>778</v>
      </c>
      <c r="D590" s="10">
        <v>999.0</v>
      </c>
      <c r="E590" s="11">
        <f t="shared" si="62"/>
        <v>799.2</v>
      </c>
      <c r="F590" s="11">
        <f t="shared" si="63"/>
        <v>699.3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9" t="s">
        <v>673</v>
      </c>
      <c r="B591" s="8" t="s">
        <v>674</v>
      </c>
      <c r="C591" s="13" t="s">
        <v>675</v>
      </c>
      <c r="D591" s="10">
        <v>499.0</v>
      </c>
      <c r="E591" s="11">
        <f t="shared" si="62"/>
        <v>399.2</v>
      </c>
      <c r="F591" s="10" t="s">
        <v>13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hidden="1" customHeight="1" outlineLevel="1">
      <c r="A592" s="13" t="s">
        <v>676</v>
      </c>
      <c r="B592" s="13" t="s">
        <v>677</v>
      </c>
      <c r="C592" s="13" t="s">
        <v>678</v>
      </c>
      <c r="D592" s="10">
        <v>379.0</v>
      </c>
      <c r="E592" s="11">
        <f t="shared" si="62"/>
        <v>303.2</v>
      </c>
      <c r="F592" s="10" t="s">
        <v>13</v>
      </c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hidden="1" customHeight="1" outlineLevel="1">
      <c r="A593" s="13" t="s">
        <v>679</v>
      </c>
      <c r="B593" s="13" t="s">
        <v>680</v>
      </c>
      <c r="C593" s="13" t="s">
        <v>678</v>
      </c>
      <c r="D593" s="10">
        <v>644.0</v>
      </c>
      <c r="E593" s="11">
        <f t="shared" si="62"/>
        <v>515.2</v>
      </c>
      <c r="F593" s="10" t="s">
        <v>13</v>
      </c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hidden="1" customHeight="1" outlineLevel="1">
      <c r="A594" s="13" t="s">
        <v>681</v>
      </c>
      <c r="B594" s="13" t="s">
        <v>682</v>
      </c>
      <c r="C594" s="13" t="s">
        <v>678</v>
      </c>
      <c r="D594" s="10">
        <v>1061.0</v>
      </c>
      <c r="E594" s="11">
        <f t="shared" si="62"/>
        <v>848.8</v>
      </c>
      <c r="F594" s="10" t="s">
        <v>13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hidden="1" customHeight="1" outlineLevel="1">
      <c r="A595" s="9" t="s">
        <v>683</v>
      </c>
      <c r="B595" s="9" t="s">
        <v>256</v>
      </c>
      <c r="C595" s="13" t="s">
        <v>684</v>
      </c>
      <c r="D595" s="10">
        <v>259.0</v>
      </c>
      <c r="E595" s="11">
        <f t="shared" si="62"/>
        <v>207.2</v>
      </c>
      <c r="F595" s="7" t="s">
        <v>13</v>
      </c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hidden="1" customHeight="1" outlineLevel="1">
      <c r="A596" s="9" t="s">
        <v>685</v>
      </c>
      <c r="B596" s="9" t="s">
        <v>259</v>
      </c>
      <c r="C596" s="13" t="s">
        <v>788</v>
      </c>
      <c r="D596" s="10">
        <v>499.0</v>
      </c>
      <c r="E596" s="11">
        <f t="shared" si="62"/>
        <v>399.2</v>
      </c>
      <c r="F596" s="7" t="s">
        <v>13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hidden="1" customHeight="1" outlineLevel="1">
      <c r="A597" s="13" t="s">
        <v>99</v>
      </c>
      <c r="B597" s="9" t="s">
        <v>11</v>
      </c>
      <c r="C597" s="13" t="s">
        <v>100</v>
      </c>
      <c r="D597" s="14">
        <v>1299.0</v>
      </c>
      <c r="E597" s="11">
        <f t="shared" si="62"/>
        <v>1039.2</v>
      </c>
      <c r="F597" s="10" t="s">
        <v>13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hidden="1" customHeight="1" outlineLevel="1">
      <c r="A598" s="13" t="s">
        <v>101</v>
      </c>
      <c r="B598" s="9" t="s">
        <v>15</v>
      </c>
      <c r="C598" s="13" t="s">
        <v>100</v>
      </c>
      <c r="D598" s="14">
        <v>2598.0</v>
      </c>
      <c r="E598" s="11">
        <f t="shared" si="62"/>
        <v>2078.4</v>
      </c>
      <c r="F598" s="10" t="s">
        <v>13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hidden="1" customHeight="1" outlineLevel="1">
      <c r="A599" s="13" t="s">
        <v>102</v>
      </c>
      <c r="B599" s="9" t="s">
        <v>17</v>
      </c>
      <c r="C599" s="13" t="s">
        <v>100</v>
      </c>
      <c r="D599" s="14">
        <v>5196.0</v>
      </c>
      <c r="E599" s="11">
        <f t="shared" si="62"/>
        <v>4156.8</v>
      </c>
      <c r="F599" s="10" t="s">
        <v>13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hidden="1" customHeight="1" outlineLevel="1">
      <c r="A600" s="13" t="s">
        <v>103</v>
      </c>
      <c r="B600" s="13" t="s">
        <v>19</v>
      </c>
      <c r="C600" s="13" t="s">
        <v>104</v>
      </c>
      <c r="D600" s="14">
        <v>1559.0</v>
      </c>
      <c r="E600" s="11">
        <f t="shared" si="62"/>
        <v>1247.2</v>
      </c>
      <c r="F600" s="10" t="s">
        <v>13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hidden="1" customHeight="1" outlineLevel="1">
      <c r="A601" s="13" t="s">
        <v>105</v>
      </c>
      <c r="B601" s="13" t="s">
        <v>22</v>
      </c>
      <c r="C601" s="13" t="s">
        <v>104</v>
      </c>
      <c r="D601" s="14">
        <v>2650.0</v>
      </c>
      <c r="E601" s="11">
        <f t="shared" si="62"/>
        <v>2120</v>
      </c>
      <c r="F601" s="10" t="s">
        <v>13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hidden="1" customHeight="1" outlineLevel="1">
      <c r="A602" s="13" t="s">
        <v>106</v>
      </c>
      <c r="B602" s="13" t="s">
        <v>24</v>
      </c>
      <c r="C602" s="13" t="s">
        <v>104</v>
      </c>
      <c r="D602" s="14">
        <v>4365.0</v>
      </c>
      <c r="E602" s="11">
        <f t="shared" si="62"/>
        <v>3492</v>
      </c>
      <c r="F602" s="10" t="s">
        <v>13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hidden="1" customHeight="1" outlineLevel="1">
      <c r="A603" s="9" t="s">
        <v>235</v>
      </c>
      <c r="B603" s="9" t="s">
        <v>539</v>
      </c>
      <c r="C603" s="13" t="s">
        <v>772</v>
      </c>
      <c r="D603" s="10">
        <v>999.0</v>
      </c>
      <c r="E603" s="11">
        <f t="shared" si="62"/>
        <v>799.2</v>
      </c>
      <c r="F603" s="7" t="s">
        <v>13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hidden="1" customHeight="1" outlineLevel="1">
      <c r="A604" s="9" t="s">
        <v>686</v>
      </c>
      <c r="B604" s="9" t="s">
        <v>256</v>
      </c>
      <c r="C604" s="13" t="s">
        <v>789</v>
      </c>
      <c r="D604" s="10">
        <v>89.0</v>
      </c>
      <c r="E604" s="11">
        <f t="shared" si="62"/>
        <v>71.2</v>
      </c>
      <c r="F604" s="10" t="s">
        <v>13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hidden="1" customHeight="1" outlineLevel="1">
      <c r="A605" s="9" t="s">
        <v>688</v>
      </c>
      <c r="B605" s="9" t="s">
        <v>259</v>
      </c>
      <c r="C605" s="13" t="s">
        <v>789</v>
      </c>
      <c r="D605" s="10">
        <v>151.0</v>
      </c>
      <c r="E605" s="11">
        <f t="shared" si="62"/>
        <v>120.8</v>
      </c>
      <c r="F605" s="10" t="s">
        <v>13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hidden="1" customHeight="1" outlineLevel="1">
      <c r="A606" s="9" t="s">
        <v>690</v>
      </c>
      <c r="B606" s="9" t="s">
        <v>691</v>
      </c>
      <c r="C606" s="9" t="s">
        <v>692</v>
      </c>
      <c r="D606" s="10">
        <v>49.0</v>
      </c>
      <c r="E606" s="11">
        <f t="shared" si="62"/>
        <v>39.2</v>
      </c>
      <c r="F606" s="10" t="s">
        <v>13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hidden="1" customHeight="1" outlineLevel="1">
      <c r="A607" s="9" t="s">
        <v>693</v>
      </c>
      <c r="B607" s="9" t="s">
        <v>694</v>
      </c>
      <c r="C607" s="9" t="s">
        <v>692</v>
      </c>
      <c r="D607" s="10">
        <v>98.0</v>
      </c>
      <c r="E607" s="11">
        <f t="shared" si="62"/>
        <v>78.4</v>
      </c>
      <c r="F607" s="10" t="s">
        <v>13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hidden="1" customHeight="1" outlineLevel="1">
      <c r="A608" s="9" t="s">
        <v>25</v>
      </c>
      <c r="B608" s="13" t="s">
        <v>26</v>
      </c>
      <c r="C608" s="9" t="s">
        <v>80</v>
      </c>
      <c r="D608" s="10">
        <v>20.0</v>
      </c>
      <c r="E608" s="11">
        <f t="shared" si="62"/>
        <v>16</v>
      </c>
      <c r="F608" s="7" t="s">
        <v>13</v>
      </c>
      <c r="G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hidden="1" customHeight="1" outlineLevel="1">
      <c r="A609" s="9" t="s">
        <v>28</v>
      </c>
      <c r="B609" s="13" t="s">
        <v>29</v>
      </c>
      <c r="C609" s="9" t="s">
        <v>30</v>
      </c>
      <c r="D609" s="10">
        <v>40.0</v>
      </c>
      <c r="E609" s="11">
        <f t="shared" si="62"/>
        <v>32</v>
      </c>
      <c r="F609" s="7" t="s">
        <v>13</v>
      </c>
      <c r="G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hidden="1" customHeight="1" outlineLevel="1">
      <c r="A610" s="9" t="s">
        <v>31</v>
      </c>
      <c r="B610" s="13" t="s">
        <v>32</v>
      </c>
      <c r="C610" s="9" t="s">
        <v>81</v>
      </c>
      <c r="D610" s="10">
        <v>60.0</v>
      </c>
      <c r="E610" s="11">
        <f t="shared" si="62"/>
        <v>48</v>
      </c>
      <c r="F610" s="7" t="s">
        <v>13</v>
      </c>
      <c r="G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hidden="1" customHeight="1" outlineLevel="1">
      <c r="A611" s="9" t="s">
        <v>33</v>
      </c>
      <c r="B611" s="9" t="s">
        <v>34</v>
      </c>
      <c r="C611" s="13" t="s">
        <v>35</v>
      </c>
      <c r="D611" s="10">
        <v>200.0</v>
      </c>
      <c r="E611" s="11">
        <f t="shared" si="62"/>
        <v>160</v>
      </c>
      <c r="F611" s="7" t="s">
        <v>13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hidden="1" customHeight="1" outlineLevel="1">
      <c r="A612" s="13" t="s">
        <v>36</v>
      </c>
      <c r="B612" s="13" t="s">
        <v>34</v>
      </c>
      <c r="C612" s="13" t="s">
        <v>37</v>
      </c>
      <c r="D612" s="10">
        <v>400.0</v>
      </c>
      <c r="E612" s="11">
        <f t="shared" si="62"/>
        <v>320</v>
      </c>
      <c r="F612" s="7" t="s">
        <v>13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hidden="1" customHeight="1" outlineLevel="1">
      <c r="A613" s="13" t="s">
        <v>38</v>
      </c>
      <c r="B613" s="13" t="s">
        <v>34</v>
      </c>
      <c r="C613" s="13" t="s">
        <v>39</v>
      </c>
      <c r="D613" s="10">
        <v>600.0</v>
      </c>
      <c r="E613" s="11">
        <f t="shared" si="62"/>
        <v>480</v>
      </c>
      <c r="F613" s="7" t="s">
        <v>13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 collapsed="1">
      <c r="A614" s="19" t="s">
        <v>794</v>
      </c>
      <c r="B614" s="27"/>
      <c r="C614" s="27"/>
      <c r="D614" s="27"/>
      <c r="E614" s="27"/>
      <c r="F614" s="27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60" t="s">
        <v>795</v>
      </c>
      <c r="B615" s="61"/>
      <c r="C615" s="61"/>
      <c r="D615" s="61"/>
      <c r="E615" s="62"/>
      <c r="F615" s="61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7" t="s">
        <v>796</v>
      </c>
      <c r="B616" s="46" t="s">
        <v>797</v>
      </c>
      <c r="C616" s="7" t="s">
        <v>798</v>
      </c>
      <c r="D616" s="11">
        <v>179.0</v>
      </c>
      <c r="E616" s="11">
        <f t="shared" ref="E616:E640" si="64">SUM(D616*0.8)</f>
        <v>143.2</v>
      </c>
      <c r="F616" s="11" t="s">
        <v>13</v>
      </c>
      <c r="G616" s="18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7" t="s">
        <v>799</v>
      </c>
      <c r="B617" s="46" t="s">
        <v>800</v>
      </c>
      <c r="C617" s="7" t="s">
        <v>801</v>
      </c>
      <c r="D617" s="11">
        <v>299.0</v>
      </c>
      <c r="E617" s="11">
        <f t="shared" si="64"/>
        <v>239.2</v>
      </c>
      <c r="F617" s="11" t="s">
        <v>13</v>
      </c>
      <c r="G617" s="18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9" t="s">
        <v>802</v>
      </c>
      <c r="B618" s="8" t="s">
        <v>803</v>
      </c>
      <c r="C618" s="9" t="s">
        <v>804</v>
      </c>
      <c r="D618" s="10">
        <v>299.0</v>
      </c>
      <c r="E618" s="11">
        <f t="shared" si="64"/>
        <v>239.2</v>
      </c>
      <c r="F618" s="11" t="s">
        <v>13</v>
      </c>
      <c r="G618" s="18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 t="s">
        <v>805</v>
      </c>
      <c r="B619" s="8" t="s">
        <v>806</v>
      </c>
      <c r="C619" s="13" t="s">
        <v>807</v>
      </c>
      <c r="D619" s="10">
        <v>399.0</v>
      </c>
      <c r="E619" s="11">
        <f t="shared" si="64"/>
        <v>319.2</v>
      </c>
      <c r="F619" s="11" t="s">
        <v>13</v>
      </c>
      <c r="G619" s="18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 t="s">
        <v>808</v>
      </c>
      <c r="B620" s="8" t="s">
        <v>809</v>
      </c>
      <c r="C620" s="13" t="s">
        <v>810</v>
      </c>
      <c r="D620" s="10">
        <v>299.0</v>
      </c>
      <c r="E620" s="11">
        <f t="shared" si="64"/>
        <v>239.2</v>
      </c>
      <c r="F620" s="11" t="s">
        <v>13</v>
      </c>
      <c r="G620" s="18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hidden="1" customHeight="1" outlineLevel="1">
      <c r="A621" s="9" t="s">
        <v>811</v>
      </c>
      <c r="B621" s="9" t="s">
        <v>256</v>
      </c>
      <c r="C621" s="13" t="s">
        <v>812</v>
      </c>
      <c r="D621" s="10">
        <v>29.0</v>
      </c>
      <c r="E621" s="11">
        <f t="shared" si="64"/>
        <v>23.2</v>
      </c>
      <c r="F621" s="7" t="s">
        <v>13</v>
      </c>
      <c r="G621" s="18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hidden="1" customHeight="1" outlineLevel="1">
      <c r="A622" s="9" t="s">
        <v>813</v>
      </c>
      <c r="B622" s="9" t="s">
        <v>259</v>
      </c>
      <c r="C622" s="13" t="s">
        <v>812</v>
      </c>
      <c r="D622" s="10">
        <v>39.0</v>
      </c>
      <c r="E622" s="11">
        <f t="shared" si="64"/>
        <v>31.2</v>
      </c>
      <c r="F622" s="7" t="s">
        <v>13</v>
      </c>
      <c r="G622" s="18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hidden="1" customHeight="1" outlineLevel="1">
      <c r="A623" s="9" t="s">
        <v>814</v>
      </c>
      <c r="B623" s="9" t="s">
        <v>256</v>
      </c>
      <c r="C623" s="13" t="s">
        <v>815</v>
      </c>
      <c r="D623" s="10">
        <v>49.0</v>
      </c>
      <c r="E623" s="11">
        <f t="shared" si="64"/>
        <v>39.2</v>
      </c>
      <c r="F623" s="7" t="s">
        <v>13</v>
      </c>
      <c r="G623" s="18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hidden="1" customHeight="1" outlineLevel="1">
      <c r="A624" s="9" t="s">
        <v>816</v>
      </c>
      <c r="B624" s="9" t="s">
        <v>256</v>
      </c>
      <c r="C624" s="13" t="s">
        <v>817</v>
      </c>
      <c r="D624" s="10">
        <v>69.0</v>
      </c>
      <c r="E624" s="11">
        <f t="shared" si="64"/>
        <v>55.2</v>
      </c>
      <c r="F624" s="7" t="s">
        <v>13</v>
      </c>
      <c r="G624" s="18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hidden="1" customHeight="1" outlineLevel="1">
      <c r="A625" s="9" t="s">
        <v>818</v>
      </c>
      <c r="B625" s="9" t="s">
        <v>259</v>
      </c>
      <c r="C625" s="13" t="s">
        <v>817</v>
      </c>
      <c r="D625" s="10">
        <v>119.0</v>
      </c>
      <c r="E625" s="11">
        <f t="shared" si="64"/>
        <v>95.2</v>
      </c>
      <c r="F625" s="7" t="s">
        <v>13</v>
      </c>
      <c r="G625" s="18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hidden="1" customHeight="1" outlineLevel="1">
      <c r="A626" s="9" t="s">
        <v>819</v>
      </c>
      <c r="B626" s="9" t="s">
        <v>259</v>
      </c>
      <c r="C626" s="13" t="s">
        <v>815</v>
      </c>
      <c r="D626" s="10">
        <v>89.0</v>
      </c>
      <c r="E626" s="11">
        <f t="shared" si="64"/>
        <v>71.2</v>
      </c>
      <c r="F626" s="7" t="s">
        <v>13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hidden="1" customHeight="1" outlineLevel="1">
      <c r="A627" s="9" t="s">
        <v>820</v>
      </c>
      <c r="B627" s="9" t="s">
        <v>256</v>
      </c>
      <c r="C627" s="13" t="s">
        <v>821</v>
      </c>
      <c r="D627" s="10">
        <v>69.0</v>
      </c>
      <c r="E627" s="11">
        <f t="shared" si="64"/>
        <v>55.2</v>
      </c>
      <c r="F627" s="7" t="s">
        <v>13</v>
      </c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hidden="1" customHeight="1" outlineLevel="1">
      <c r="A628" s="9" t="s">
        <v>822</v>
      </c>
      <c r="B628" s="9" t="s">
        <v>259</v>
      </c>
      <c r="C628" s="13" t="s">
        <v>821</v>
      </c>
      <c r="D628" s="10">
        <v>119.0</v>
      </c>
      <c r="E628" s="11">
        <f t="shared" si="64"/>
        <v>95.2</v>
      </c>
      <c r="F628" s="7" t="s">
        <v>13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hidden="1" customHeight="1" outlineLevel="1">
      <c r="A629" s="9" t="s">
        <v>823</v>
      </c>
      <c r="B629" s="9" t="s">
        <v>256</v>
      </c>
      <c r="C629" s="13" t="s">
        <v>824</v>
      </c>
      <c r="D629" s="10">
        <v>49.0</v>
      </c>
      <c r="E629" s="11">
        <f t="shared" si="64"/>
        <v>39.2</v>
      </c>
      <c r="F629" s="7" t="s">
        <v>13</v>
      </c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hidden="1" customHeight="1" outlineLevel="1">
      <c r="A630" s="9" t="s">
        <v>825</v>
      </c>
      <c r="B630" s="9" t="s">
        <v>259</v>
      </c>
      <c r="C630" s="13" t="s">
        <v>824</v>
      </c>
      <c r="D630" s="10">
        <v>98.0</v>
      </c>
      <c r="E630" s="11">
        <f t="shared" si="64"/>
        <v>78.4</v>
      </c>
      <c r="F630" s="7" t="s">
        <v>13</v>
      </c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hidden="1" customHeight="1" outlineLevel="1">
      <c r="A631" s="9" t="s">
        <v>826</v>
      </c>
      <c r="B631" s="9" t="s">
        <v>256</v>
      </c>
      <c r="C631" s="13" t="s">
        <v>827</v>
      </c>
      <c r="D631" s="10">
        <v>49.0</v>
      </c>
      <c r="E631" s="11">
        <f t="shared" si="64"/>
        <v>39.2</v>
      </c>
      <c r="F631" s="7" t="s">
        <v>13</v>
      </c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hidden="1" customHeight="1" outlineLevel="1">
      <c r="A632" s="9" t="s">
        <v>828</v>
      </c>
      <c r="B632" s="9" t="s">
        <v>259</v>
      </c>
      <c r="C632" s="13" t="s">
        <v>827</v>
      </c>
      <c r="D632" s="10">
        <v>79.0</v>
      </c>
      <c r="E632" s="11">
        <f t="shared" si="64"/>
        <v>63.2</v>
      </c>
      <c r="F632" s="7" t="s">
        <v>13</v>
      </c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hidden="1" customHeight="1" outlineLevel="1">
      <c r="A633" s="13" t="s">
        <v>829</v>
      </c>
      <c r="B633" s="9" t="s">
        <v>69</v>
      </c>
      <c r="C633" s="13" t="s">
        <v>830</v>
      </c>
      <c r="D633" s="10">
        <v>69.0</v>
      </c>
      <c r="E633" s="11">
        <f t="shared" si="64"/>
        <v>55.2</v>
      </c>
      <c r="F633" s="7" t="s">
        <v>13</v>
      </c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hidden="1" customHeight="1" outlineLevel="1">
      <c r="A634" s="13" t="s">
        <v>831</v>
      </c>
      <c r="B634" s="9" t="s">
        <v>72</v>
      </c>
      <c r="C634" s="13" t="s">
        <v>830</v>
      </c>
      <c r="D634" s="10">
        <v>118.0</v>
      </c>
      <c r="E634" s="11">
        <f t="shared" si="64"/>
        <v>94.4</v>
      </c>
      <c r="F634" s="7" t="s">
        <v>13</v>
      </c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hidden="1" customHeight="1" outlineLevel="1">
      <c r="A635" s="13" t="s">
        <v>832</v>
      </c>
      <c r="B635" s="9" t="s">
        <v>74</v>
      </c>
      <c r="C635" s="13" t="s">
        <v>830</v>
      </c>
      <c r="D635" s="10">
        <v>194.0</v>
      </c>
      <c r="E635" s="11">
        <f t="shared" si="64"/>
        <v>155.2</v>
      </c>
      <c r="F635" s="7" t="s">
        <v>13</v>
      </c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hidden="1" customHeight="1" outlineLevel="1">
      <c r="A636" s="13" t="s">
        <v>755</v>
      </c>
      <c r="B636" s="9" t="s">
        <v>69</v>
      </c>
      <c r="C636" s="13" t="s">
        <v>833</v>
      </c>
      <c r="D636" s="10">
        <v>89.0</v>
      </c>
      <c r="E636" s="11">
        <f t="shared" si="64"/>
        <v>71.2</v>
      </c>
      <c r="F636" s="7" t="s">
        <v>13</v>
      </c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hidden="1" customHeight="1" outlineLevel="1">
      <c r="A637" s="13" t="s">
        <v>757</v>
      </c>
      <c r="B637" s="9" t="s">
        <v>72</v>
      </c>
      <c r="C637" s="13" t="s">
        <v>833</v>
      </c>
      <c r="D637" s="10">
        <v>152.0</v>
      </c>
      <c r="E637" s="11">
        <f t="shared" si="64"/>
        <v>121.6</v>
      </c>
      <c r="F637" s="7" t="s">
        <v>13</v>
      </c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hidden="1" customHeight="1" outlineLevel="1">
      <c r="A638" s="13" t="s">
        <v>758</v>
      </c>
      <c r="B638" s="9" t="s">
        <v>74</v>
      </c>
      <c r="C638" s="13" t="s">
        <v>833</v>
      </c>
      <c r="D638" s="10">
        <v>250.0</v>
      </c>
      <c r="E638" s="11">
        <f t="shared" si="64"/>
        <v>200</v>
      </c>
      <c r="F638" s="7" t="s">
        <v>13</v>
      </c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hidden="1" customHeight="1" outlineLevel="1">
      <c r="A639" s="9" t="s">
        <v>731</v>
      </c>
      <c r="B639" s="9" t="s">
        <v>732</v>
      </c>
      <c r="C639" s="13" t="s">
        <v>834</v>
      </c>
      <c r="D639" s="10">
        <v>29.0</v>
      </c>
      <c r="E639" s="11">
        <f t="shared" si="64"/>
        <v>23.2</v>
      </c>
      <c r="F639" s="7" t="s">
        <v>13</v>
      </c>
    </row>
    <row r="640" ht="15.75" hidden="1" customHeight="1" outlineLevel="1">
      <c r="A640" s="9" t="s">
        <v>734</v>
      </c>
      <c r="B640" s="9" t="s">
        <v>735</v>
      </c>
      <c r="C640" s="13" t="s">
        <v>835</v>
      </c>
      <c r="D640" s="10">
        <v>49.0</v>
      </c>
      <c r="E640" s="11">
        <f t="shared" si="64"/>
        <v>39.2</v>
      </c>
      <c r="F640" s="7" t="s">
        <v>13</v>
      </c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 collapsed="1">
      <c r="A641" s="19" t="s">
        <v>836</v>
      </c>
      <c r="B641" s="27"/>
      <c r="C641" s="27"/>
      <c r="D641" s="27"/>
      <c r="E641" s="27"/>
      <c r="F641" s="27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60" t="s">
        <v>837</v>
      </c>
      <c r="B642" s="61"/>
      <c r="C642" s="61"/>
      <c r="D642" s="61"/>
      <c r="E642" s="62"/>
      <c r="F642" s="61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9" t="s">
        <v>838</v>
      </c>
      <c r="B643" s="8" t="s">
        <v>839</v>
      </c>
      <c r="C643" s="13" t="s">
        <v>840</v>
      </c>
      <c r="D643" s="10">
        <v>699.0</v>
      </c>
      <c r="E643" s="11">
        <f t="shared" ref="E643:E649" si="65">SUM(D643*0.8)</f>
        <v>559.2</v>
      </c>
      <c r="F643" s="11" t="s">
        <v>13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hidden="1" customHeight="1" outlineLevel="1">
      <c r="A644" s="9" t="s">
        <v>163</v>
      </c>
      <c r="B644" s="9" t="s">
        <v>11</v>
      </c>
      <c r="C644" s="13" t="s">
        <v>841</v>
      </c>
      <c r="D644" s="10">
        <v>49.0</v>
      </c>
      <c r="E644" s="11">
        <f t="shared" si="65"/>
        <v>39.2</v>
      </c>
      <c r="F644" s="7" t="s">
        <v>13</v>
      </c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hidden="1" customHeight="1" outlineLevel="1">
      <c r="A645" s="9" t="s">
        <v>165</v>
      </c>
      <c r="B645" s="9" t="s">
        <v>15</v>
      </c>
      <c r="C645" s="13" t="s">
        <v>841</v>
      </c>
      <c r="D645" s="10">
        <v>98.0</v>
      </c>
      <c r="E645" s="11">
        <f t="shared" si="65"/>
        <v>78.4</v>
      </c>
      <c r="F645" s="7" t="s">
        <v>13</v>
      </c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hidden="1" customHeight="1" outlineLevel="1">
      <c r="A646" s="9" t="s">
        <v>166</v>
      </c>
      <c r="B646" s="9" t="s">
        <v>17</v>
      </c>
      <c r="C646" s="13" t="s">
        <v>841</v>
      </c>
      <c r="D646" s="10">
        <v>196.0</v>
      </c>
      <c r="E646" s="11">
        <f t="shared" si="65"/>
        <v>156.8</v>
      </c>
      <c r="F646" s="7" t="s">
        <v>13</v>
      </c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hidden="1" customHeight="1" outlineLevel="1">
      <c r="A647" s="13" t="s">
        <v>167</v>
      </c>
      <c r="B647" s="13" t="s">
        <v>19</v>
      </c>
      <c r="C647" s="13" t="s">
        <v>842</v>
      </c>
      <c r="D647" s="10">
        <v>59.0</v>
      </c>
      <c r="E647" s="11">
        <f t="shared" si="65"/>
        <v>47.2</v>
      </c>
      <c r="F647" s="7" t="s">
        <v>13</v>
      </c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hidden="1" customHeight="1" outlineLevel="1">
      <c r="A648" s="13" t="s">
        <v>169</v>
      </c>
      <c r="B648" s="13" t="s">
        <v>22</v>
      </c>
      <c r="C648" s="13" t="s">
        <v>842</v>
      </c>
      <c r="D648" s="10">
        <v>100.0</v>
      </c>
      <c r="E648" s="11">
        <f t="shared" si="65"/>
        <v>80</v>
      </c>
      <c r="F648" s="7" t="s">
        <v>13</v>
      </c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hidden="1" customHeight="1" outlineLevel="1">
      <c r="A649" s="13" t="s">
        <v>170</v>
      </c>
      <c r="B649" s="13" t="s">
        <v>24</v>
      </c>
      <c r="C649" s="13" t="s">
        <v>842</v>
      </c>
      <c r="D649" s="10">
        <v>165.0</v>
      </c>
      <c r="E649" s="11">
        <f t="shared" si="65"/>
        <v>132</v>
      </c>
      <c r="F649" s="7" t="s">
        <v>13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 collapsed="1">
      <c r="A650" s="19" t="s">
        <v>843</v>
      </c>
      <c r="B650" s="27"/>
      <c r="C650" s="27"/>
      <c r="D650" s="27"/>
      <c r="E650" s="27"/>
      <c r="F650" s="27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60" t="s">
        <v>844</v>
      </c>
      <c r="B651" s="61"/>
      <c r="C651" s="61"/>
      <c r="D651" s="61"/>
      <c r="E651" s="62"/>
      <c r="F651" s="61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9" t="s">
        <v>845</v>
      </c>
      <c r="B652" s="8" t="s">
        <v>846</v>
      </c>
      <c r="C652" s="13" t="s">
        <v>840</v>
      </c>
      <c r="D652" s="10">
        <v>699.0</v>
      </c>
      <c r="E652" s="11">
        <f t="shared" ref="E652:E659" si="66">SUM(D652*0.8)</f>
        <v>559.2</v>
      </c>
      <c r="F652" s="11" t="s">
        <v>13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hidden="1" customHeight="1" outlineLevel="1">
      <c r="A653" s="13" t="s">
        <v>847</v>
      </c>
      <c r="B653" s="9" t="s">
        <v>256</v>
      </c>
      <c r="C653" s="13" t="s">
        <v>848</v>
      </c>
      <c r="D653" s="10">
        <v>119.0</v>
      </c>
      <c r="E653" s="11">
        <f t="shared" si="66"/>
        <v>95.2</v>
      </c>
      <c r="F653" s="7" t="s">
        <v>13</v>
      </c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hidden="1" customHeight="1" outlineLevel="1">
      <c r="A654" s="13" t="s">
        <v>849</v>
      </c>
      <c r="B654" s="9" t="s">
        <v>259</v>
      </c>
      <c r="C654" s="13" t="s">
        <v>848</v>
      </c>
      <c r="D654" s="10">
        <v>219.0</v>
      </c>
      <c r="E654" s="11">
        <f t="shared" si="66"/>
        <v>175.2</v>
      </c>
      <c r="F654" s="7" t="s">
        <v>13</v>
      </c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hidden="1" customHeight="1" outlineLevel="1">
      <c r="A655" s="13" t="s">
        <v>419</v>
      </c>
      <c r="B655" s="9" t="s">
        <v>69</v>
      </c>
      <c r="C655" s="13" t="s">
        <v>848</v>
      </c>
      <c r="D655" s="10">
        <v>199.0</v>
      </c>
      <c r="E655" s="11">
        <f t="shared" si="66"/>
        <v>159.2</v>
      </c>
      <c r="F655" s="7" t="s">
        <v>13</v>
      </c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hidden="1" customHeight="1" outlineLevel="1">
      <c r="A656" s="13" t="s">
        <v>421</v>
      </c>
      <c r="B656" s="9" t="s">
        <v>72</v>
      </c>
      <c r="C656" s="13" t="s">
        <v>848</v>
      </c>
      <c r="D656" s="10">
        <v>339.0</v>
      </c>
      <c r="E656" s="11">
        <f t="shared" si="66"/>
        <v>271.2</v>
      </c>
      <c r="F656" s="7" t="s">
        <v>13</v>
      </c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hidden="1" customHeight="1" outlineLevel="1">
      <c r="A657" s="13" t="s">
        <v>422</v>
      </c>
      <c r="B657" s="9" t="s">
        <v>74</v>
      </c>
      <c r="C657" s="13" t="s">
        <v>848</v>
      </c>
      <c r="D657" s="10">
        <v>558.0</v>
      </c>
      <c r="E657" s="11">
        <f t="shared" si="66"/>
        <v>446.4</v>
      </c>
      <c r="F657" s="7" t="s">
        <v>13</v>
      </c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hidden="1" customHeight="1" outlineLevel="1">
      <c r="A658" s="9" t="s">
        <v>850</v>
      </c>
      <c r="B658" s="9" t="s">
        <v>732</v>
      </c>
      <c r="C658" s="13" t="s">
        <v>851</v>
      </c>
      <c r="D658" s="10">
        <v>39.0</v>
      </c>
      <c r="E658" s="11">
        <f t="shared" si="66"/>
        <v>31.2</v>
      </c>
      <c r="F658" s="7" t="s">
        <v>13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hidden="1" customHeight="1" outlineLevel="1">
      <c r="A659" s="9" t="s">
        <v>852</v>
      </c>
      <c r="B659" s="9" t="s">
        <v>735</v>
      </c>
      <c r="C659" s="13" t="s">
        <v>835</v>
      </c>
      <c r="D659" s="10">
        <v>78.0</v>
      </c>
      <c r="E659" s="11">
        <f t="shared" si="66"/>
        <v>62.4</v>
      </c>
      <c r="F659" s="7" t="s">
        <v>13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 collapsed="1">
      <c r="A660" s="19" t="s">
        <v>853</v>
      </c>
      <c r="B660" s="27"/>
      <c r="C660" s="27"/>
      <c r="D660" s="27"/>
      <c r="E660" s="27"/>
      <c r="F660" s="27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60" t="s">
        <v>854</v>
      </c>
      <c r="B661" s="61"/>
      <c r="C661" s="61"/>
      <c r="D661" s="61"/>
      <c r="E661" s="62"/>
      <c r="F661" s="61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9" t="s">
        <v>855</v>
      </c>
      <c r="B662" s="8" t="s">
        <v>856</v>
      </c>
      <c r="C662" s="9" t="s">
        <v>857</v>
      </c>
      <c r="D662" s="10">
        <v>99.0</v>
      </c>
      <c r="E662" s="11">
        <f t="shared" ref="E662:E664" si="67">SUM(D662*0.8)</f>
        <v>79.2</v>
      </c>
      <c r="F662" s="11" t="s">
        <v>13</v>
      </c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hidden="1" customHeight="1" outlineLevel="1">
      <c r="A663" s="9" t="s">
        <v>858</v>
      </c>
      <c r="B663" s="9" t="s">
        <v>859</v>
      </c>
      <c r="C663" s="13" t="s">
        <v>860</v>
      </c>
      <c r="D663" s="10">
        <v>99.0</v>
      </c>
      <c r="E663" s="11">
        <f t="shared" si="67"/>
        <v>79.2</v>
      </c>
      <c r="F663" s="7" t="s">
        <v>13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hidden="1" customHeight="1" outlineLevel="1">
      <c r="A664" s="9" t="s">
        <v>861</v>
      </c>
      <c r="B664" s="9" t="s">
        <v>862</v>
      </c>
      <c r="C664" s="13" t="s">
        <v>863</v>
      </c>
      <c r="D664" s="10">
        <v>189.0</v>
      </c>
      <c r="E664" s="11">
        <f t="shared" si="67"/>
        <v>151.2</v>
      </c>
      <c r="F664" s="7" t="s">
        <v>13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 collapsed="1">
      <c r="A665" s="19" t="s">
        <v>864</v>
      </c>
      <c r="B665" s="27"/>
      <c r="C665" s="27"/>
      <c r="D665" s="27"/>
      <c r="E665" s="27"/>
      <c r="F665" s="27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63" t="s">
        <v>865</v>
      </c>
      <c r="B666" s="64"/>
      <c r="C666" s="64"/>
      <c r="D666" s="64"/>
      <c r="E666" s="65"/>
      <c r="F666" s="64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9" t="s">
        <v>866</v>
      </c>
      <c r="B667" s="8" t="s">
        <v>867</v>
      </c>
      <c r="C667" s="9" t="s">
        <v>868</v>
      </c>
      <c r="D667" s="10">
        <v>799.0</v>
      </c>
      <c r="E667" s="11">
        <f t="shared" ref="E667:E682" si="68">SUM(D667*0.8)</f>
        <v>639.2</v>
      </c>
      <c r="F667" s="11">
        <f t="shared" ref="F667:F670" si="69">SUM(D667*0.7)</f>
        <v>559.3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9" t="s">
        <v>869</v>
      </c>
      <c r="B668" s="8" t="s">
        <v>870</v>
      </c>
      <c r="C668" s="9" t="s">
        <v>871</v>
      </c>
      <c r="D668" s="10">
        <v>799.0</v>
      </c>
      <c r="E668" s="11">
        <f t="shared" si="68"/>
        <v>639.2</v>
      </c>
      <c r="F668" s="11">
        <f t="shared" si="69"/>
        <v>559.3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9" t="s">
        <v>872</v>
      </c>
      <c r="B669" s="8" t="s">
        <v>873</v>
      </c>
      <c r="C669" s="9" t="s">
        <v>874</v>
      </c>
      <c r="D669" s="10">
        <v>1199.0</v>
      </c>
      <c r="E669" s="11">
        <f t="shared" si="68"/>
        <v>959.2</v>
      </c>
      <c r="F669" s="11">
        <f t="shared" si="69"/>
        <v>839.3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9" t="s">
        <v>875</v>
      </c>
      <c r="B670" s="8" t="s">
        <v>876</v>
      </c>
      <c r="C670" s="9" t="s">
        <v>877</v>
      </c>
      <c r="D670" s="10">
        <v>1199.0</v>
      </c>
      <c r="E670" s="11">
        <f t="shared" si="68"/>
        <v>959.2</v>
      </c>
      <c r="F670" s="11">
        <f t="shared" si="69"/>
        <v>839.3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hidden="1" customHeight="1" outlineLevel="1">
      <c r="A671" s="9" t="s">
        <v>163</v>
      </c>
      <c r="B671" s="9" t="s">
        <v>11</v>
      </c>
      <c r="C671" s="13" t="s">
        <v>878</v>
      </c>
      <c r="D671" s="10">
        <v>49.0</v>
      </c>
      <c r="E671" s="11">
        <f t="shared" si="68"/>
        <v>39.2</v>
      </c>
      <c r="F671" s="7" t="s">
        <v>13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hidden="1" customHeight="1" outlineLevel="1">
      <c r="A672" s="9" t="s">
        <v>165</v>
      </c>
      <c r="B672" s="9" t="s">
        <v>15</v>
      </c>
      <c r="C672" s="13" t="s">
        <v>878</v>
      </c>
      <c r="D672" s="10">
        <v>98.0</v>
      </c>
      <c r="E672" s="11">
        <f t="shared" si="68"/>
        <v>78.4</v>
      </c>
      <c r="F672" s="7" t="s">
        <v>13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hidden="1" customHeight="1" outlineLevel="1">
      <c r="A673" s="9" t="s">
        <v>166</v>
      </c>
      <c r="B673" s="9" t="s">
        <v>17</v>
      </c>
      <c r="C673" s="13" t="s">
        <v>878</v>
      </c>
      <c r="D673" s="10">
        <v>196.0</v>
      </c>
      <c r="E673" s="11">
        <f t="shared" si="68"/>
        <v>156.8</v>
      </c>
      <c r="F673" s="7" t="s">
        <v>13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hidden="1" customHeight="1" outlineLevel="1">
      <c r="A674" s="13" t="s">
        <v>167</v>
      </c>
      <c r="B674" s="13" t="s">
        <v>19</v>
      </c>
      <c r="C674" s="13" t="s">
        <v>879</v>
      </c>
      <c r="D674" s="10">
        <v>59.0</v>
      </c>
      <c r="E674" s="11">
        <f t="shared" si="68"/>
        <v>47.2</v>
      </c>
      <c r="F674" s="7" t="s">
        <v>13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hidden="1" customHeight="1" outlineLevel="1">
      <c r="A675" s="13" t="s">
        <v>169</v>
      </c>
      <c r="B675" s="13" t="s">
        <v>22</v>
      </c>
      <c r="C675" s="13" t="s">
        <v>879</v>
      </c>
      <c r="D675" s="10">
        <v>100.0</v>
      </c>
      <c r="E675" s="11">
        <f t="shared" si="68"/>
        <v>80</v>
      </c>
      <c r="F675" s="7" t="s">
        <v>13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hidden="1" customHeight="1" outlineLevel="1">
      <c r="A676" s="13" t="s">
        <v>170</v>
      </c>
      <c r="B676" s="13" t="s">
        <v>24</v>
      </c>
      <c r="C676" s="13" t="s">
        <v>879</v>
      </c>
      <c r="D676" s="10">
        <v>165.0</v>
      </c>
      <c r="E676" s="11">
        <f t="shared" si="68"/>
        <v>132</v>
      </c>
      <c r="F676" s="7" t="s">
        <v>13</v>
      </c>
      <c r="G676" s="13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hidden="1" customHeight="1" outlineLevel="1">
      <c r="A677" s="13" t="s">
        <v>171</v>
      </c>
      <c r="B677" s="13" t="s">
        <v>11</v>
      </c>
      <c r="C677" s="13" t="s">
        <v>880</v>
      </c>
      <c r="D677" s="10">
        <v>99.0</v>
      </c>
      <c r="E677" s="11">
        <f t="shared" si="68"/>
        <v>79.2</v>
      </c>
      <c r="F677" s="7" t="s">
        <v>13</v>
      </c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hidden="1" customHeight="1" outlineLevel="1">
      <c r="A678" s="13" t="s">
        <v>173</v>
      </c>
      <c r="B678" s="13" t="s">
        <v>15</v>
      </c>
      <c r="C678" s="13" t="s">
        <v>881</v>
      </c>
      <c r="D678" s="10">
        <v>198.0</v>
      </c>
      <c r="E678" s="11">
        <f t="shared" si="68"/>
        <v>158.4</v>
      </c>
      <c r="F678" s="7" t="s">
        <v>13</v>
      </c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hidden="1" customHeight="1" outlineLevel="1">
      <c r="A679" s="13" t="s">
        <v>174</v>
      </c>
      <c r="B679" s="13" t="s">
        <v>17</v>
      </c>
      <c r="C679" s="13" t="s">
        <v>881</v>
      </c>
      <c r="D679" s="10">
        <v>396.0</v>
      </c>
      <c r="E679" s="11">
        <f t="shared" si="68"/>
        <v>316.8</v>
      </c>
      <c r="F679" s="7" t="s">
        <v>13</v>
      </c>
    </row>
    <row r="680" ht="15.75" hidden="1" customHeight="1" outlineLevel="1">
      <c r="A680" s="13" t="s">
        <v>175</v>
      </c>
      <c r="B680" s="13" t="s">
        <v>19</v>
      </c>
      <c r="C680" s="13" t="s">
        <v>882</v>
      </c>
      <c r="D680" s="10">
        <v>119.0</v>
      </c>
      <c r="E680" s="11">
        <f t="shared" si="68"/>
        <v>95.2</v>
      </c>
      <c r="F680" s="7" t="s">
        <v>13</v>
      </c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hidden="1" customHeight="1" outlineLevel="1">
      <c r="A681" s="13" t="s">
        <v>177</v>
      </c>
      <c r="B681" s="13" t="s">
        <v>22</v>
      </c>
      <c r="C681" s="13" t="s">
        <v>882</v>
      </c>
      <c r="D681" s="10">
        <v>202.0</v>
      </c>
      <c r="E681" s="11">
        <f t="shared" si="68"/>
        <v>161.6</v>
      </c>
      <c r="F681" s="7" t="s">
        <v>13</v>
      </c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hidden="1" customHeight="1" outlineLevel="1">
      <c r="A682" s="13" t="s">
        <v>179</v>
      </c>
      <c r="B682" s="13" t="s">
        <v>24</v>
      </c>
      <c r="C682" s="13" t="s">
        <v>882</v>
      </c>
      <c r="D682" s="10">
        <v>333.0</v>
      </c>
      <c r="E682" s="11">
        <f t="shared" si="68"/>
        <v>266.4</v>
      </c>
      <c r="F682" s="7" t="s">
        <v>13</v>
      </c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 collapsed="1">
      <c r="A683" s="19" t="s">
        <v>883</v>
      </c>
      <c r="B683" s="27"/>
      <c r="C683" s="27"/>
      <c r="D683" s="27"/>
      <c r="E683" s="27"/>
      <c r="F683" s="27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63" t="s">
        <v>884</v>
      </c>
      <c r="B684" s="64"/>
      <c r="C684" s="64"/>
      <c r="D684" s="64"/>
      <c r="E684" s="65"/>
      <c r="F684" s="64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9" t="s">
        <v>885</v>
      </c>
      <c r="B685" s="8" t="s">
        <v>886</v>
      </c>
      <c r="C685" s="9" t="s">
        <v>887</v>
      </c>
      <c r="D685" s="10">
        <v>499.0</v>
      </c>
      <c r="E685" s="11">
        <f t="shared" ref="E685:E696" si="70">SUM(D685*0.8)</f>
        <v>399.2</v>
      </c>
      <c r="F685" s="7" t="s">
        <v>13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9" t="s">
        <v>888</v>
      </c>
      <c r="B686" s="8" t="s">
        <v>889</v>
      </c>
      <c r="C686" s="9" t="s">
        <v>890</v>
      </c>
      <c r="D686" s="10">
        <v>699.0</v>
      </c>
      <c r="E686" s="11">
        <f t="shared" si="70"/>
        <v>559.2</v>
      </c>
      <c r="F686" s="7" t="s">
        <v>13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hidden="1" customHeight="1" outlineLevel="1">
      <c r="A687" s="9" t="s">
        <v>891</v>
      </c>
      <c r="B687" s="9" t="s">
        <v>256</v>
      </c>
      <c r="C687" s="13" t="s">
        <v>892</v>
      </c>
      <c r="D687" s="10">
        <v>89.0</v>
      </c>
      <c r="E687" s="11">
        <f t="shared" si="70"/>
        <v>71.2</v>
      </c>
      <c r="F687" s="7" t="s">
        <v>13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hidden="1" customHeight="1" outlineLevel="1">
      <c r="A688" s="9" t="s">
        <v>893</v>
      </c>
      <c r="B688" s="9" t="s">
        <v>259</v>
      </c>
      <c r="C688" s="13" t="s">
        <v>892</v>
      </c>
      <c r="D688" s="10">
        <v>169.0</v>
      </c>
      <c r="E688" s="11">
        <f t="shared" si="70"/>
        <v>135.2</v>
      </c>
      <c r="F688" s="7" t="s">
        <v>13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hidden="1" customHeight="1" outlineLevel="1">
      <c r="A689" s="9" t="s">
        <v>894</v>
      </c>
      <c r="B689" s="9" t="s">
        <v>256</v>
      </c>
      <c r="C689" s="13" t="s">
        <v>895</v>
      </c>
      <c r="D689" s="10">
        <v>126.0</v>
      </c>
      <c r="E689" s="11">
        <f t="shared" si="70"/>
        <v>100.8</v>
      </c>
      <c r="F689" s="7" t="s">
        <v>13</v>
      </c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hidden="1" customHeight="1" outlineLevel="1">
      <c r="A690" s="9" t="s">
        <v>896</v>
      </c>
      <c r="B690" s="9" t="s">
        <v>259</v>
      </c>
      <c r="C690" s="13" t="s">
        <v>895</v>
      </c>
      <c r="D690" s="10">
        <v>239.0</v>
      </c>
      <c r="E690" s="11">
        <f t="shared" si="70"/>
        <v>191.2</v>
      </c>
      <c r="F690" s="7" t="s">
        <v>13</v>
      </c>
    </row>
    <row r="691" ht="15.75" hidden="1" customHeight="1" outlineLevel="1">
      <c r="A691" s="13" t="s">
        <v>419</v>
      </c>
      <c r="B691" s="9" t="s">
        <v>69</v>
      </c>
      <c r="C691" s="13" t="s">
        <v>895</v>
      </c>
      <c r="D691" s="10">
        <v>199.0</v>
      </c>
      <c r="E691" s="11">
        <f t="shared" si="70"/>
        <v>159.2</v>
      </c>
      <c r="F691" s="7" t="s">
        <v>13</v>
      </c>
    </row>
    <row r="692" ht="15.75" hidden="1" customHeight="1" outlineLevel="1">
      <c r="A692" s="13" t="s">
        <v>421</v>
      </c>
      <c r="B692" s="9" t="s">
        <v>72</v>
      </c>
      <c r="C692" s="13" t="s">
        <v>895</v>
      </c>
      <c r="D692" s="10">
        <v>339.0</v>
      </c>
      <c r="E692" s="11">
        <f t="shared" si="70"/>
        <v>271.2</v>
      </c>
      <c r="F692" s="7" t="s">
        <v>13</v>
      </c>
    </row>
    <row r="693" ht="15.75" hidden="1" customHeight="1" outlineLevel="1">
      <c r="A693" s="13" t="s">
        <v>422</v>
      </c>
      <c r="B693" s="9" t="s">
        <v>74</v>
      </c>
      <c r="C693" s="13" t="s">
        <v>895</v>
      </c>
      <c r="D693" s="10">
        <v>558.0</v>
      </c>
      <c r="E693" s="11">
        <f t="shared" si="70"/>
        <v>446.4</v>
      </c>
      <c r="F693" s="7" t="s">
        <v>13</v>
      </c>
    </row>
    <row r="694" ht="15.75" hidden="1" customHeight="1" outlineLevel="1">
      <c r="A694" s="9" t="s">
        <v>897</v>
      </c>
      <c r="B694" s="9" t="s">
        <v>898</v>
      </c>
      <c r="C694" s="13" t="s">
        <v>899</v>
      </c>
      <c r="D694" s="10">
        <v>999.0</v>
      </c>
      <c r="E694" s="11">
        <f t="shared" si="70"/>
        <v>799.2</v>
      </c>
      <c r="F694" s="7" t="s">
        <v>13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hidden="1" customHeight="1" outlineLevel="1">
      <c r="A695" s="9" t="s">
        <v>900</v>
      </c>
      <c r="B695" s="9" t="s">
        <v>901</v>
      </c>
      <c r="C695" s="13" t="s">
        <v>902</v>
      </c>
      <c r="D695" s="10">
        <v>999.0</v>
      </c>
      <c r="E695" s="11">
        <f t="shared" si="70"/>
        <v>799.2</v>
      </c>
      <c r="F695" s="7" t="s">
        <v>13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hidden="1" customHeight="1" outlineLevel="1">
      <c r="A696" s="9" t="s">
        <v>903</v>
      </c>
      <c r="B696" s="9" t="s">
        <v>904</v>
      </c>
      <c r="C696" s="13" t="s">
        <v>905</v>
      </c>
      <c r="D696" s="10">
        <v>99.0</v>
      </c>
      <c r="E696" s="11">
        <f t="shared" si="70"/>
        <v>79.2</v>
      </c>
      <c r="F696" s="7" t="s">
        <v>13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 collapsed="1">
      <c r="A697" s="19" t="s">
        <v>906</v>
      </c>
      <c r="B697" s="27"/>
      <c r="C697" s="27"/>
      <c r="D697" s="27"/>
      <c r="E697" s="27"/>
      <c r="F697" s="27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63" t="s">
        <v>907</v>
      </c>
      <c r="B698" s="64"/>
      <c r="C698" s="64"/>
      <c r="D698" s="64"/>
      <c r="E698" s="65"/>
      <c r="F698" s="64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9" t="s">
        <v>908</v>
      </c>
      <c r="B699" s="8" t="s">
        <v>909</v>
      </c>
      <c r="C699" s="9" t="s">
        <v>910</v>
      </c>
      <c r="D699" s="10">
        <v>499.0</v>
      </c>
      <c r="E699" s="11">
        <f t="shared" ref="E699:E702" si="71">SUM(D699*0.8)</f>
        <v>399.2</v>
      </c>
      <c r="F699" s="7" t="s">
        <v>13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hidden="1" customHeight="1" outlineLevel="1">
      <c r="A700" s="9" t="s">
        <v>911</v>
      </c>
      <c r="B700" s="9" t="s">
        <v>259</v>
      </c>
      <c r="C700" s="9" t="s">
        <v>912</v>
      </c>
      <c r="D700" s="10">
        <v>169.0</v>
      </c>
      <c r="E700" s="11">
        <f t="shared" si="71"/>
        <v>135.2</v>
      </c>
      <c r="F700" s="7" t="s">
        <v>13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hidden="1" customHeight="1" outlineLevel="1">
      <c r="A701" s="9" t="s">
        <v>913</v>
      </c>
      <c r="B701" s="9" t="s">
        <v>256</v>
      </c>
      <c r="C701" s="9" t="s">
        <v>912</v>
      </c>
      <c r="D701" s="10">
        <v>89.0</v>
      </c>
      <c r="E701" s="11">
        <f t="shared" si="71"/>
        <v>71.2</v>
      </c>
      <c r="F701" s="7" t="s">
        <v>13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hidden="1" customHeight="1" outlineLevel="1">
      <c r="A702" s="9" t="s">
        <v>914</v>
      </c>
      <c r="B702" s="9" t="s">
        <v>915</v>
      </c>
      <c r="C702" s="9" t="s">
        <v>916</v>
      </c>
      <c r="D702" s="10">
        <v>4500.0</v>
      </c>
      <c r="E702" s="11">
        <f t="shared" si="71"/>
        <v>3600</v>
      </c>
      <c r="F702" s="7" t="s">
        <v>13</v>
      </c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 collapsed="1">
      <c r="A703" s="66" t="s">
        <v>917</v>
      </c>
      <c r="B703" s="16"/>
      <c r="C703" s="16"/>
      <c r="D703" s="16"/>
      <c r="E703" s="16"/>
      <c r="F703" s="16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9" t="s">
        <v>918</v>
      </c>
      <c r="B704" s="8" t="s">
        <v>919</v>
      </c>
      <c r="C704" s="9" t="s">
        <v>920</v>
      </c>
      <c r="D704" s="10">
        <v>1999.0</v>
      </c>
      <c r="E704" s="11">
        <f t="shared" ref="E704:E707" si="72">SUM(D704*0.8)</f>
        <v>1599.2</v>
      </c>
      <c r="F704" s="7" t="s">
        <v>13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hidden="1" customHeight="1" outlineLevel="1">
      <c r="A705" s="9" t="s">
        <v>921</v>
      </c>
      <c r="B705" s="9" t="s">
        <v>259</v>
      </c>
      <c r="C705" s="9" t="s">
        <v>922</v>
      </c>
      <c r="D705" s="10">
        <v>659.0</v>
      </c>
      <c r="E705" s="11">
        <f t="shared" si="72"/>
        <v>527.2</v>
      </c>
      <c r="F705" s="7" t="s">
        <v>13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hidden="1" customHeight="1" outlineLevel="1">
      <c r="A706" s="9" t="s">
        <v>923</v>
      </c>
      <c r="B706" s="9" t="s">
        <v>256</v>
      </c>
      <c r="C706" s="9" t="s">
        <v>922</v>
      </c>
      <c r="D706" s="10">
        <v>339.0</v>
      </c>
      <c r="E706" s="11">
        <f t="shared" si="72"/>
        <v>271.2</v>
      </c>
      <c r="F706" s="7" t="s">
        <v>13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hidden="1" customHeight="1" outlineLevel="1">
      <c r="A707" s="9" t="s">
        <v>914</v>
      </c>
      <c r="B707" s="9" t="s">
        <v>915</v>
      </c>
      <c r="C707" s="9" t="s">
        <v>916</v>
      </c>
      <c r="D707" s="10">
        <v>4500.0</v>
      </c>
      <c r="E707" s="11">
        <f t="shared" si="72"/>
        <v>3600</v>
      </c>
      <c r="F707" s="7" t="s">
        <v>13</v>
      </c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 collapsed="1">
      <c r="A708" s="66" t="s">
        <v>924</v>
      </c>
      <c r="B708" s="16"/>
      <c r="C708" s="16"/>
      <c r="D708" s="16"/>
      <c r="E708" s="16"/>
      <c r="F708" s="16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9" t="s">
        <v>925</v>
      </c>
      <c r="B709" s="8" t="s">
        <v>926</v>
      </c>
      <c r="C709" s="9" t="s">
        <v>927</v>
      </c>
      <c r="D709" s="10">
        <v>2999.0</v>
      </c>
      <c r="E709" s="11">
        <f t="shared" ref="E709:E715" si="73">SUM(D709*0.8)</f>
        <v>2399.2</v>
      </c>
      <c r="F709" s="7" t="s">
        <v>13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hidden="1" customHeight="1" outlineLevel="1">
      <c r="A710" s="9" t="s">
        <v>928</v>
      </c>
      <c r="B710" s="9" t="s">
        <v>259</v>
      </c>
      <c r="C710" s="9" t="s">
        <v>929</v>
      </c>
      <c r="D710" s="10">
        <v>989.0</v>
      </c>
      <c r="E710" s="11">
        <f t="shared" si="73"/>
        <v>791.2</v>
      </c>
      <c r="F710" s="7" t="s">
        <v>13</v>
      </c>
      <c r="G710" s="18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hidden="1" customHeight="1" outlineLevel="1">
      <c r="A711" s="9" t="s">
        <v>930</v>
      </c>
      <c r="B711" s="9" t="s">
        <v>256</v>
      </c>
      <c r="C711" s="9" t="s">
        <v>929</v>
      </c>
      <c r="D711" s="10">
        <v>509.0</v>
      </c>
      <c r="E711" s="11">
        <f t="shared" si="73"/>
        <v>407.2</v>
      </c>
      <c r="F711" s="7" t="s">
        <v>13</v>
      </c>
      <c r="G711" s="18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hidden="1" customHeight="1" outlineLevel="1">
      <c r="A712" s="13" t="s">
        <v>931</v>
      </c>
      <c r="B712" s="13" t="s">
        <v>69</v>
      </c>
      <c r="C712" s="9" t="s">
        <v>929</v>
      </c>
      <c r="D712" s="10">
        <v>749.0</v>
      </c>
      <c r="E712" s="11">
        <f t="shared" si="73"/>
        <v>599.2</v>
      </c>
      <c r="F712" s="7" t="s">
        <v>13</v>
      </c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hidden="1" customHeight="1" outlineLevel="1">
      <c r="A713" s="13" t="s">
        <v>932</v>
      </c>
      <c r="B713" s="13" t="s">
        <v>72</v>
      </c>
      <c r="C713" s="9" t="s">
        <v>929</v>
      </c>
      <c r="D713" s="10">
        <v>1273.0</v>
      </c>
      <c r="E713" s="11">
        <f t="shared" si="73"/>
        <v>1018.4</v>
      </c>
      <c r="F713" s="7" t="s">
        <v>13</v>
      </c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hidden="1" customHeight="1" outlineLevel="1">
      <c r="A714" s="13" t="s">
        <v>933</v>
      </c>
      <c r="B714" s="13" t="s">
        <v>74</v>
      </c>
      <c r="C714" s="9" t="s">
        <v>929</v>
      </c>
      <c r="D714" s="10">
        <v>2097.0</v>
      </c>
      <c r="E714" s="11">
        <f t="shared" si="73"/>
        <v>1677.6</v>
      </c>
      <c r="F714" s="7" t="s">
        <v>13</v>
      </c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hidden="1" customHeight="1" outlineLevel="1">
      <c r="A715" s="9" t="s">
        <v>914</v>
      </c>
      <c r="B715" s="9" t="s">
        <v>915</v>
      </c>
      <c r="C715" s="9" t="s">
        <v>916</v>
      </c>
      <c r="D715" s="10">
        <v>4500.0</v>
      </c>
      <c r="E715" s="11">
        <f t="shared" si="73"/>
        <v>3600</v>
      </c>
      <c r="F715" s="7" t="s">
        <v>13</v>
      </c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 collapsed="1">
      <c r="A716" s="66" t="s">
        <v>934</v>
      </c>
      <c r="B716" s="16"/>
      <c r="C716" s="16"/>
      <c r="D716" s="16"/>
      <c r="E716" s="16"/>
      <c r="F716" s="16"/>
      <c r="G716" s="18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9" t="s">
        <v>935</v>
      </c>
      <c r="B717" s="8" t="s">
        <v>936</v>
      </c>
      <c r="C717" s="9" t="s">
        <v>937</v>
      </c>
      <c r="D717" s="10">
        <v>5999.0</v>
      </c>
      <c r="E717" s="11">
        <f t="shared" ref="E717:E723" si="74">SUM(D717*0.8)</f>
        <v>4799.2</v>
      </c>
      <c r="F717" s="7" t="s">
        <v>13</v>
      </c>
      <c r="G717" s="18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hidden="1" customHeight="1" outlineLevel="1">
      <c r="A718" s="9" t="s">
        <v>938</v>
      </c>
      <c r="B718" s="9" t="s">
        <v>259</v>
      </c>
      <c r="C718" s="9" t="s">
        <v>939</v>
      </c>
      <c r="D718" s="10">
        <v>1979.0</v>
      </c>
      <c r="E718" s="11">
        <f t="shared" si="74"/>
        <v>1583.2</v>
      </c>
      <c r="F718" s="7" t="s">
        <v>13</v>
      </c>
      <c r="G718" s="18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hidden="1" customHeight="1" outlineLevel="1">
      <c r="A719" s="9" t="s">
        <v>940</v>
      </c>
      <c r="B719" s="9" t="s">
        <v>256</v>
      </c>
      <c r="C719" s="9" t="s">
        <v>939</v>
      </c>
      <c r="D719" s="10">
        <v>1019.0</v>
      </c>
      <c r="E719" s="11">
        <f t="shared" si="74"/>
        <v>815.2</v>
      </c>
      <c r="F719" s="7" t="s">
        <v>13</v>
      </c>
      <c r="G719" s="18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hidden="1" customHeight="1" outlineLevel="1">
      <c r="A720" s="13" t="s">
        <v>941</v>
      </c>
      <c r="B720" s="13" t="s">
        <v>69</v>
      </c>
      <c r="C720" s="9" t="s">
        <v>939</v>
      </c>
      <c r="D720" s="10">
        <v>1499.0</v>
      </c>
      <c r="E720" s="11">
        <f t="shared" si="74"/>
        <v>1199.2</v>
      </c>
      <c r="F720" s="7" t="s">
        <v>13</v>
      </c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hidden="1" customHeight="1" outlineLevel="1">
      <c r="A721" s="13" t="s">
        <v>942</v>
      </c>
      <c r="B721" s="13" t="s">
        <v>72</v>
      </c>
      <c r="C721" s="9" t="s">
        <v>939</v>
      </c>
      <c r="D721" s="10">
        <v>2548.0</v>
      </c>
      <c r="E721" s="11">
        <f t="shared" si="74"/>
        <v>2038.4</v>
      </c>
      <c r="F721" s="7" t="s">
        <v>13</v>
      </c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hidden="1" customHeight="1" outlineLevel="1">
      <c r="A722" s="13" t="s">
        <v>943</v>
      </c>
      <c r="B722" s="13" t="s">
        <v>74</v>
      </c>
      <c r="C722" s="9" t="s">
        <v>939</v>
      </c>
      <c r="D722" s="10">
        <v>4197.0</v>
      </c>
      <c r="E722" s="11">
        <f t="shared" si="74"/>
        <v>3357.6</v>
      </c>
      <c r="F722" s="7" t="s">
        <v>13</v>
      </c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hidden="1" customHeight="1" outlineLevel="1">
      <c r="A723" s="9" t="s">
        <v>914</v>
      </c>
      <c r="B723" s="9" t="s">
        <v>915</v>
      </c>
      <c r="C723" s="9" t="s">
        <v>916</v>
      </c>
      <c r="D723" s="10">
        <v>4500.0</v>
      </c>
      <c r="E723" s="11">
        <f t="shared" si="74"/>
        <v>3600</v>
      </c>
      <c r="F723" s="7" t="s">
        <v>13</v>
      </c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 collapsed="1">
      <c r="A724" s="66" t="s">
        <v>944</v>
      </c>
      <c r="B724" s="16"/>
      <c r="C724" s="16"/>
      <c r="D724" s="16"/>
      <c r="E724" s="16"/>
      <c r="F724" s="16"/>
      <c r="G724" s="18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9" t="s">
        <v>945</v>
      </c>
      <c r="B725" s="8" t="s">
        <v>946</v>
      </c>
      <c r="C725" s="9" t="s">
        <v>947</v>
      </c>
      <c r="D725" s="10">
        <v>7999.0</v>
      </c>
      <c r="E725" s="11">
        <f t="shared" ref="E725:E731" si="75">SUM(D725*0.8)</f>
        <v>6399.2</v>
      </c>
      <c r="F725" s="7" t="s">
        <v>13</v>
      </c>
      <c r="G725" s="18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hidden="1" customHeight="1" outlineLevel="1">
      <c r="A726" s="9" t="s">
        <v>948</v>
      </c>
      <c r="B726" s="9" t="s">
        <v>259</v>
      </c>
      <c r="C726" s="9" t="s">
        <v>949</v>
      </c>
      <c r="D726" s="10">
        <v>2639.0</v>
      </c>
      <c r="E726" s="11">
        <f t="shared" si="75"/>
        <v>2111.2</v>
      </c>
      <c r="F726" s="7" t="s">
        <v>13</v>
      </c>
      <c r="G726" s="18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hidden="1" customHeight="1" outlineLevel="1">
      <c r="A727" s="9" t="s">
        <v>950</v>
      </c>
      <c r="B727" s="9" t="s">
        <v>256</v>
      </c>
      <c r="C727" s="9" t="s">
        <v>949</v>
      </c>
      <c r="D727" s="10">
        <v>1359.0</v>
      </c>
      <c r="E727" s="11">
        <f t="shared" si="75"/>
        <v>1087.2</v>
      </c>
      <c r="F727" s="7" t="s">
        <v>13</v>
      </c>
      <c r="G727" s="18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hidden="1" customHeight="1" outlineLevel="1">
      <c r="A728" s="13" t="s">
        <v>951</v>
      </c>
      <c r="B728" s="13" t="s">
        <v>69</v>
      </c>
      <c r="C728" s="9" t="s">
        <v>949</v>
      </c>
      <c r="D728" s="10">
        <v>1999.0</v>
      </c>
      <c r="E728" s="11">
        <f t="shared" si="75"/>
        <v>1599.2</v>
      </c>
      <c r="F728" s="7" t="s">
        <v>13</v>
      </c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hidden="1" customHeight="1" outlineLevel="1">
      <c r="A729" s="13" t="s">
        <v>952</v>
      </c>
      <c r="B729" s="13" t="s">
        <v>72</v>
      </c>
      <c r="C729" s="9" t="s">
        <v>949</v>
      </c>
      <c r="D729" s="10">
        <v>3398.0</v>
      </c>
      <c r="E729" s="11">
        <f t="shared" si="75"/>
        <v>2718.4</v>
      </c>
      <c r="F729" s="7" t="s">
        <v>13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hidden="1" customHeight="1" outlineLevel="1">
      <c r="A730" s="13" t="s">
        <v>953</v>
      </c>
      <c r="B730" s="13" t="s">
        <v>74</v>
      </c>
      <c r="C730" s="9" t="s">
        <v>949</v>
      </c>
      <c r="D730" s="10">
        <v>5597.0</v>
      </c>
      <c r="E730" s="11">
        <f t="shared" si="75"/>
        <v>4477.6</v>
      </c>
      <c r="F730" s="7" t="s">
        <v>13</v>
      </c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hidden="1" customHeight="1" outlineLevel="1">
      <c r="A731" s="9" t="s">
        <v>914</v>
      </c>
      <c r="B731" s="9" t="s">
        <v>915</v>
      </c>
      <c r="C731" s="9" t="s">
        <v>916</v>
      </c>
      <c r="D731" s="10">
        <v>4500.0</v>
      </c>
      <c r="E731" s="11">
        <f t="shared" si="75"/>
        <v>3600</v>
      </c>
      <c r="F731" s="7" t="s">
        <v>13</v>
      </c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 collapsed="1">
      <c r="A732" s="66" t="s">
        <v>954</v>
      </c>
      <c r="B732" s="16"/>
      <c r="C732" s="16"/>
      <c r="D732" s="16"/>
      <c r="E732" s="16"/>
      <c r="F732" s="16"/>
      <c r="G732" s="18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9" t="s">
        <v>955</v>
      </c>
      <c r="B733" s="8" t="s">
        <v>956</v>
      </c>
      <c r="C733" s="9" t="s">
        <v>957</v>
      </c>
      <c r="D733" s="10">
        <v>9999.0</v>
      </c>
      <c r="E733" s="11">
        <f t="shared" ref="E733:E739" si="76">SUM(D733*0.8)</f>
        <v>7999.2</v>
      </c>
      <c r="F733" s="7" t="s">
        <v>13</v>
      </c>
      <c r="G733" s="18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hidden="1" customHeight="1" outlineLevel="1">
      <c r="A734" s="9" t="s">
        <v>958</v>
      </c>
      <c r="B734" s="9" t="s">
        <v>259</v>
      </c>
      <c r="C734" s="9" t="s">
        <v>959</v>
      </c>
      <c r="D734" s="10">
        <v>3299.0</v>
      </c>
      <c r="E734" s="11">
        <f t="shared" si="76"/>
        <v>2639.2</v>
      </c>
      <c r="F734" s="7" t="s">
        <v>13</v>
      </c>
      <c r="G734" s="18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hidden="1" customHeight="1" outlineLevel="1">
      <c r="A735" s="9" t="s">
        <v>960</v>
      </c>
      <c r="B735" s="9" t="s">
        <v>256</v>
      </c>
      <c r="C735" s="9" t="s">
        <v>959</v>
      </c>
      <c r="D735" s="10">
        <v>1699.0</v>
      </c>
      <c r="E735" s="11">
        <f t="shared" si="76"/>
        <v>1359.2</v>
      </c>
      <c r="F735" s="7" t="s">
        <v>13</v>
      </c>
      <c r="G735" s="18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hidden="1" customHeight="1" outlineLevel="1">
      <c r="A736" s="13" t="s">
        <v>961</v>
      </c>
      <c r="B736" s="13" t="s">
        <v>69</v>
      </c>
      <c r="C736" s="9" t="s">
        <v>959</v>
      </c>
      <c r="D736" s="10">
        <v>2499.0</v>
      </c>
      <c r="E736" s="11">
        <f t="shared" si="76"/>
        <v>1999.2</v>
      </c>
      <c r="F736" s="7" t="s">
        <v>13</v>
      </c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hidden="1" customHeight="1" outlineLevel="1">
      <c r="A737" s="13" t="s">
        <v>962</v>
      </c>
      <c r="B737" s="13" t="s">
        <v>72</v>
      </c>
      <c r="C737" s="9" t="s">
        <v>959</v>
      </c>
      <c r="D737" s="10">
        <v>4248.0</v>
      </c>
      <c r="E737" s="11">
        <f t="shared" si="76"/>
        <v>3398.4</v>
      </c>
      <c r="F737" s="7" t="s">
        <v>13</v>
      </c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hidden="1" customHeight="1" outlineLevel="1">
      <c r="A738" s="13" t="s">
        <v>963</v>
      </c>
      <c r="B738" s="13" t="s">
        <v>74</v>
      </c>
      <c r="C738" s="9" t="s">
        <v>959</v>
      </c>
      <c r="D738" s="10">
        <v>6997.0</v>
      </c>
      <c r="E738" s="11">
        <f t="shared" si="76"/>
        <v>5597.6</v>
      </c>
      <c r="F738" s="7" t="s">
        <v>13</v>
      </c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hidden="1" customHeight="1" outlineLevel="1">
      <c r="A739" s="9" t="s">
        <v>914</v>
      </c>
      <c r="B739" s="9" t="s">
        <v>915</v>
      </c>
      <c r="C739" s="9" t="s">
        <v>916</v>
      </c>
      <c r="D739" s="10">
        <v>4500.0</v>
      </c>
      <c r="E739" s="11">
        <f t="shared" si="76"/>
        <v>3600</v>
      </c>
      <c r="F739" s="7" t="s">
        <v>13</v>
      </c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 collapsed="1">
      <c r="A740" s="66" t="s">
        <v>964</v>
      </c>
      <c r="B740" s="16"/>
      <c r="C740" s="16"/>
      <c r="D740" s="16"/>
      <c r="E740" s="16"/>
      <c r="F740" s="16"/>
    </row>
    <row r="741" ht="15.75" customHeight="1">
      <c r="A741" s="9" t="s">
        <v>965</v>
      </c>
      <c r="B741" s="8" t="s">
        <v>966</v>
      </c>
      <c r="C741" s="9" t="s">
        <v>967</v>
      </c>
      <c r="D741" s="10">
        <v>14999.0</v>
      </c>
      <c r="E741" s="11">
        <f t="shared" ref="E741:E747" si="77">SUM(D741*0.8)</f>
        <v>11999.2</v>
      </c>
      <c r="F741" s="7" t="s">
        <v>13</v>
      </c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hidden="1" customHeight="1" outlineLevel="1">
      <c r="A742" s="9" t="s">
        <v>968</v>
      </c>
      <c r="B742" s="9" t="s">
        <v>259</v>
      </c>
      <c r="C742" s="9" t="s">
        <v>969</v>
      </c>
      <c r="D742" s="10">
        <v>4949.0</v>
      </c>
      <c r="E742" s="11">
        <f t="shared" si="77"/>
        <v>3959.2</v>
      </c>
      <c r="F742" s="7" t="s">
        <v>13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hidden="1" customHeight="1" outlineLevel="1">
      <c r="A743" s="9" t="s">
        <v>970</v>
      </c>
      <c r="B743" s="9" t="s">
        <v>256</v>
      </c>
      <c r="C743" s="9" t="s">
        <v>969</v>
      </c>
      <c r="D743" s="10">
        <v>2499.0</v>
      </c>
      <c r="E743" s="11">
        <f t="shared" si="77"/>
        <v>1999.2</v>
      </c>
      <c r="F743" s="7" t="s">
        <v>13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hidden="1" customHeight="1" outlineLevel="1">
      <c r="A744" s="13" t="s">
        <v>971</v>
      </c>
      <c r="B744" s="13" t="s">
        <v>69</v>
      </c>
      <c r="C744" s="9" t="s">
        <v>969</v>
      </c>
      <c r="D744" s="10">
        <v>3749.0</v>
      </c>
      <c r="E744" s="11">
        <f t="shared" si="77"/>
        <v>2999.2</v>
      </c>
      <c r="F744" s="7" t="s">
        <v>13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hidden="1" customHeight="1" outlineLevel="1">
      <c r="A745" s="13" t="s">
        <v>972</v>
      </c>
      <c r="B745" s="13" t="s">
        <v>72</v>
      </c>
      <c r="C745" s="9" t="s">
        <v>969</v>
      </c>
      <c r="D745" s="10">
        <v>6373.0</v>
      </c>
      <c r="E745" s="11">
        <f t="shared" si="77"/>
        <v>5098.4</v>
      </c>
      <c r="F745" s="7" t="s">
        <v>13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hidden="1" customHeight="1" outlineLevel="1">
      <c r="A746" s="13" t="s">
        <v>973</v>
      </c>
      <c r="B746" s="13" t="s">
        <v>74</v>
      </c>
      <c r="C746" s="9" t="s">
        <v>969</v>
      </c>
      <c r="D746" s="10">
        <v>10497.0</v>
      </c>
      <c r="E746" s="11">
        <f t="shared" si="77"/>
        <v>8397.6</v>
      </c>
      <c r="F746" s="7" t="s">
        <v>13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hidden="1" customHeight="1" outlineLevel="1">
      <c r="A747" s="9" t="s">
        <v>914</v>
      </c>
      <c r="B747" s="9" t="s">
        <v>915</v>
      </c>
      <c r="C747" s="9" t="s">
        <v>916</v>
      </c>
      <c r="D747" s="10">
        <v>4500.0</v>
      </c>
      <c r="E747" s="11">
        <f t="shared" si="77"/>
        <v>3600</v>
      </c>
      <c r="F747" s="7" t="s">
        <v>13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 collapsed="1">
      <c r="A748" s="19" t="s">
        <v>974</v>
      </c>
      <c r="B748" s="27"/>
      <c r="C748" s="27"/>
      <c r="D748" s="27"/>
      <c r="E748" s="27"/>
      <c r="F748" s="27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63" t="s">
        <v>975</v>
      </c>
      <c r="B749" s="64"/>
      <c r="C749" s="64"/>
      <c r="D749" s="64"/>
      <c r="E749" s="65"/>
      <c r="F749" s="64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9" t="s">
        <v>976</v>
      </c>
      <c r="B750" s="8" t="s">
        <v>977</v>
      </c>
      <c r="C750" s="9" t="s">
        <v>978</v>
      </c>
      <c r="D750" s="10">
        <v>20.0</v>
      </c>
      <c r="E750" s="11">
        <f t="shared" ref="E750:E756" si="78">SUM(D750*0.85)</f>
        <v>17</v>
      </c>
      <c r="F750" s="7" t="s">
        <v>13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9" t="s">
        <v>979</v>
      </c>
      <c r="B751" s="8" t="s">
        <v>980</v>
      </c>
      <c r="C751" s="9" t="s">
        <v>981</v>
      </c>
      <c r="D751" s="10">
        <v>40.0</v>
      </c>
      <c r="E751" s="11">
        <f t="shared" si="78"/>
        <v>34</v>
      </c>
      <c r="F751" s="7" t="s">
        <v>13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9" t="s">
        <v>982</v>
      </c>
      <c r="B752" s="8" t="s">
        <v>983</v>
      </c>
      <c r="C752" s="9" t="s">
        <v>984</v>
      </c>
      <c r="D752" s="10">
        <v>80.0</v>
      </c>
      <c r="E752" s="11">
        <f t="shared" si="78"/>
        <v>68</v>
      </c>
      <c r="F752" s="7" t="s">
        <v>13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9" t="s">
        <v>985</v>
      </c>
      <c r="B753" s="8" t="s">
        <v>986</v>
      </c>
      <c r="C753" s="9" t="s">
        <v>987</v>
      </c>
      <c r="D753" s="10">
        <v>159.0</v>
      </c>
      <c r="E753" s="11">
        <f t="shared" si="78"/>
        <v>135.15</v>
      </c>
      <c r="F753" s="7" t="s">
        <v>13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9" t="s">
        <v>988</v>
      </c>
      <c r="B754" s="8" t="s">
        <v>989</v>
      </c>
      <c r="C754" s="9" t="s">
        <v>990</v>
      </c>
      <c r="D754" s="10">
        <v>299.0</v>
      </c>
      <c r="E754" s="11">
        <f t="shared" si="78"/>
        <v>254.15</v>
      </c>
      <c r="F754" s="7" t="s">
        <v>13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9" t="s">
        <v>991</v>
      </c>
      <c r="B755" s="8" t="s">
        <v>992</v>
      </c>
      <c r="C755" s="9" t="s">
        <v>993</v>
      </c>
      <c r="D755" s="10">
        <v>99.0</v>
      </c>
      <c r="E755" s="11">
        <f t="shared" si="78"/>
        <v>84.15</v>
      </c>
      <c r="F755" s="7" t="s">
        <v>13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 t="s">
        <v>994</v>
      </c>
      <c r="B756" s="8" t="s">
        <v>995</v>
      </c>
      <c r="C756" s="13" t="s">
        <v>996</v>
      </c>
      <c r="D756" s="10">
        <v>800.0</v>
      </c>
      <c r="E756" s="11">
        <f t="shared" si="78"/>
        <v>680</v>
      </c>
      <c r="F756" s="7" t="s">
        <v>13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63" t="s">
        <v>997</v>
      </c>
      <c r="B757" s="64"/>
      <c r="C757" s="64"/>
      <c r="D757" s="64"/>
      <c r="E757" s="65"/>
      <c r="F757" s="64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9" t="s">
        <v>998</v>
      </c>
      <c r="B758" s="8" t="s">
        <v>999</v>
      </c>
      <c r="C758" s="9" t="s">
        <v>1000</v>
      </c>
      <c r="D758" s="10">
        <v>100.0</v>
      </c>
      <c r="E758" s="11">
        <f t="shared" ref="E758:E772" si="79">SUM(D758*0.85)</f>
        <v>85</v>
      </c>
      <c r="F758" s="7" t="s">
        <v>13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9" t="s">
        <v>1001</v>
      </c>
      <c r="B759" s="8" t="s">
        <v>1002</v>
      </c>
      <c r="C759" s="9" t="s">
        <v>1003</v>
      </c>
      <c r="D759" s="10">
        <v>480.0</v>
      </c>
      <c r="E759" s="11">
        <f t="shared" si="79"/>
        <v>408</v>
      </c>
      <c r="F759" s="7" t="s">
        <v>13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9" t="s">
        <v>1004</v>
      </c>
      <c r="B760" s="8" t="s">
        <v>1005</v>
      </c>
      <c r="C760" s="9" t="s">
        <v>1006</v>
      </c>
      <c r="D760" s="10">
        <v>950.0</v>
      </c>
      <c r="E760" s="11">
        <f t="shared" si="79"/>
        <v>807.5</v>
      </c>
      <c r="F760" s="7" t="s">
        <v>13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9" t="s">
        <v>1007</v>
      </c>
      <c r="B761" s="8" t="s">
        <v>1008</v>
      </c>
      <c r="C761" s="9" t="s">
        <v>1009</v>
      </c>
      <c r="D761" s="10">
        <v>2250.0</v>
      </c>
      <c r="E761" s="11">
        <f t="shared" si="79"/>
        <v>1912.5</v>
      </c>
      <c r="F761" s="7" t="s">
        <v>13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9" t="s">
        <v>1010</v>
      </c>
      <c r="B762" s="8" t="s">
        <v>1011</v>
      </c>
      <c r="C762" s="9" t="s">
        <v>1012</v>
      </c>
      <c r="D762" s="10">
        <v>4250.0</v>
      </c>
      <c r="E762" s="11">
        <f t="shared" si="79"/>
        <v>3612.5</v>
      </c>
      <c r="F762" s="7" t="s">
        <v>13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9" t="s">
        <v>1013</v>
      </c>
      <c r="B763" s="8" t="s">
        <v>1014</v>
      </c>
      <c r="C763" s="9" t="s">
        <v>1015</v>
      </c>
      <c r="D763" s="10">
        <v>8000.0</v>
      </c>
      <c r="E763" s="11">
        <f t="shared" si="79"/>
        <v>6800</v>
      </c>
      <c r="F763" s="7" t="s">
        <v>13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9" t="s">
        <v>1016</v>
      </c>
      <c r="B764" s="8" t="s">
        <v>1017</v>
      </c>
      <c r="C764" s="9" t="s">
        <v>1018</v>
      </c>
      <c r="D764" s="10">
        <v>79.0</v>
      </c>
      <c r="E764" s="11">
        <f t="shared" si="79"/>
        <v>67.15</v>
      </c>
      <c r="F764" s="7" t="s">
        <v>13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9" t="s">
        <v>1019</v>
      </c>
      <c r="B765" s="8" t="s">
        <v>1020</v>
      </c>
      <c r="C765" s="9" t="s">
        <v>1021</v>
      </c>
      <c r="D765" s="10">
        <v>99.0</v>
      </c>
      <c r="E765" s="11">
        <f t="shared" si="79"/>
        <v>84.15</v>
      </c>
      <c r="F765" s="7" t="s">
        <v>13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9" t="s">
        <v>1022</v>
      </c>
      <c r="B766" s="8" t="s">
        <v>1020</v>
      </c>
      <c r="C766" s="9" t="s">
        <v>1023</v>
      </c>
      <c r="D766" s="10">
        <v>189.0</v>
      </c>
      <c r="E766" s="11">
        <f t="shared" si="79"/>
        <v>160.65</v>
      </c>
      <c r="F766" s="7" t="s">
        <v>13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9" t="s">
        <v>1024</v>
      </c>
      <c r="B767" s="8" t="s">
        <v>1025</v>
      </c>
      <c r="C767" s="9" t="s">
        <v>1026</v>
      </c>
      <c r="D767" s="10">
        <v>2000.0</v>
      </c>
      <c r="E767" s="11">
        <f t="shared" si="79"/>
        <v>1700</v>
      </c>
      <c r="F767" s="10" t="s">
        <v>13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9" t="s">
        <v>1027</v>
      </c>
      <c r="B768" s="8" t="s">
        <v>1028</v>
      </c>
      <c r="C768" s="9" t="s">
        <v>1029</v>
      </c>
      <c r="D768" s="10">
        <v>3900.0</v>
      </c>
      <c r="E768" s="11">
        <f t="shared" si="79"/>
        <v>3315</v>
      </c>
      <c r="F768" s="10" t="s">
        <v>13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9" t="s">
        <v>1030</v>
      </c>
      <c r="B769" s="8" t="s">
        <v>1031</v>
      </c>
      <c r="C769" s="9" t="s">
        <v>1032</v>
      </c>
      <c r="D769" s="10">
        <v>7600.0</v>
      </c>
      <c r="E769" s="11">
        <f t="shared" si="79"/>
        <v>6460</v>
      </c>
      <c r="F769" s="10" t="s">
        <v>13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9" t="s">
        <v>1033</v>
      </c>
      <c r="B770" s="8" t="s">
        <v>1034</v>
      </c>
      <c r="C770" s="9" t="s">
        <v>1035</v>
      </c>
      <c r="D770" s="10">
        <v>14800.0</v>
      </c>
      <c r="E770" s="11">
        <f t="shared" si="79"/>
        <v>12580</v>
      </c>
      <c r="F770" s="10" t="s">
        <v>13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9" t="s">
        <v>1036</v>
      </c>
      <c r="B771" s="8" t="s">
        <v>1037</v>
      </c>
      <c r="C771" s="9" t="s">
        <v>1038</v>
      </c>
      <c r="D771" s="10">
        <v>36000.0</v>
      </c>
      <c r="E771" s="11">
        <f t="shared" si="79"/>
        <v>30600</v>
      </c>
      <c r="F771" s="10" t="s">
        <v>13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 t="s">
        <v>1039</v>
      </c>
      <c r="B772" s="8" t="s">
        <v>1040</v>
      </c>
      <c r="C772" s="9" t="s">
        <v>1041</v>
      </c>
      <c r="D772" s="10">
        <v>70000.0</v>
      </c>
      <c r="E772" s="10">
        <f t="shared" si="79"/>
        <v>59500</v>
      </c>
      <c r="F772" s="10" t="s">
        <v>13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67" t="s">
        <v>1042</v>
      </c>
      <c r="B773" s="68"/>
      <c r="C773" s="68"/>
      <c r="D773" s="68"/>
      <c r="E773" s="69"/>
      <c r="F773" s="68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13" t="s">
        <v>1043</v>
      </c>
      <c r="B774" s="8" t="s">
        <v>1044</v>
      </c>
      <c r="C774" s="13" t="s">
        <v>1045</v>
      </c>
      <c r="D774" s="10">
        <v>199.0</v>
      </c>
      <c r="E774" s="11">
        <f t="shared" ref="E774:E812" si="80">SUM(D774*0.7)</f>
        <v>139.3</v>
      </c>
      <c r="F774" s="7" t="s">
        <v>13</v>
      </c>
    </row>
    <row r="775" ht="15.75" customHeight="1">
      <c r="A775" s="13" t="s">
        <v>1046</v>
      </c>
      <c r="B775" s="8" t="s">
        <v>1047</v>
      </c>
      <c r="C775" s="13" t="s">
        <v>1048</v>
      </c>
      <c r="D775" s="10">
        <v>349.0</v>
      </c>
      <c r="E775" s="11">
        <f t="shared" si="80"/>
        <v>244.3</v>
      </c>
      <c r="F775" s="7" t="s">
        <v>13</v>
      </c>
    </row>
    <row r="776" ht="15.75" customHeight="1">
      <c r="A776" s="13" t="s">
        <v>1049</v>
      </c>
      <c r="B776" s="8" t="s">
        <v>1047</v>
      </c>
      <c r="C776" s="13" t="s">
        <v>1048</v>
      </c>
      <c r="D776" s="10">
        <v>349.0</v>
      </c>
      <c r="E776" s="11">
        <f t="shared" si="80"/>
        <v>244.3</v>
      </c>
      <c r="F776" s="7" t="s">
        <v>13</v>
      </c>
    </row>
    <row r="777" ht="15.75" customHeight="1">
      <c r="A777" s="13" t="s">
        <v>1050</v>
      </c>
      <c r="B777" s="8" t="s">
        <v>1051</v>
      </c>
      <c r="C777" s="13" t="s">
        <v>1052</v>
      </c>
      <c r="D777" s="10">
        <v>349.0</v>
      </c>
      <c r="E777" s="11">
        <f t="shared" si="80"/>
        <v>244.3</v>
      </c>
      <c r="F777" s="7" t="s">
        <v>13</v>
      </c>
    </row>
    <row r="778" ht="15.75" customHeight="1">
      <c r="A778" s="13" t="s">
        <v>1053</v>
      </c>
      <c r="B778" s="8" t="s">
        <v>1051</v>
      </c>
      <c r="C778" s="13" t="s">
        <v>1054</v>
      </c>
      <c r="D778" s="10">
        <v>699.0</v>
      </c>
      <c r="E778" s="11">
        <f t="shared" si="80"/>
        <v>489.3</v>
      </c>
      <c r="F778" s="7" t="s">
        <v>13</v>
      </c>
    </row>
    <row r="779" ht="15.75" customHeight="1">
      <c r="A779" s="13" t="s">
        <v>1055</v>
      </c>
      <c r="B779" s="8" t="s">
        <v>1056</v>
      </c>
      <c r="C779" s="13" t="s">
        <v>1057</v>
      </c>
      <c r="D779" s="10">
        <v>799.0</v>
      </c>
      <c r="E779" s="11">
        <f t="shared" si="80"/>
        <v>559.3</v>
      </c>
      <c r="F779" s="7" t="s">
        <v>13</v>
      </c>
    </row>
    <row r="780" ht="15.75" customHeight="1">
      <c r="A780" s="13" t="s">
        <v>1058</v>
      </c>
      <c r="B780" s="8" t="s">
        <v>1059</v>
      </c>
      <c r="C780" s="13" t="s">
        <v>1060</v>
      </c>
      <c r="D780" s="10">
        <v>149.0</v>
      </c>
      <c r="E780" s="11">
        <f t="shared" si="80"/>
        <v>104.3</v>
      </c>
      <c r="F780" s="7" t="s">
        <v>13</v>
      </c>
    </row>
    <row r="781" ht="15.75" customHeight="1">
      <c r="A781" s="13" t="s">
        <v>1061</v>
      </c>
      <c r="B781" s="8" t="s">
        <v>1059</v>
      </c>
      <c r="C781" s="13" t="s">
        <v>1062</v>
      </c>
      <c r="D781" s="10">
        <v>149.0</v>
      </c>
      <c r="E781" s="11">
        <f t="shared" si="80"/>
        <v>104.3</v>
      </c>
      <c r="F781" s="7" t="s">
        <v>13</v>
      </c>
    </row>
    <row r="782" ht="15.75" customHeight="1">
      <c r="A782" s="13" t="s">
        <v>1063</v>
      </c>
      <c r="B782" s="8" t="s">
        <v>1059</v>
      </c>
      <c r="C782" s="13" t="s">
        <v>1064</v>
      </c>
      <c r="D782" s="10">
        <v>149.0</v>
      </c>
      <c r="E782" s="11">
        <f t="shared" si="80"/>
        <v>104.3</v>
      </c>
      <c r="F782" s="7" t="s">
        <v>13</v>
      </c>
    </row>
    <row r="783" ht="15.75" customHeight="1">
      <c r="A783" s="13" t="s">
        <v>1065</v>
      </c>
      <c r="B783" s="8" t="s">
        <v>1066</v>
      </c>
      <c r="C783" s="13" t="s">
        <v>1067</v>
      </c>
      <c r="D783" s="10">
        <v>199.0</v>
      </c>
      <c r="E783" s="11">
        <f t="shared" si="80"/>
        <v>139.3</v>
      </c>
      <c r="F783" s="7" t="s">
        <v>13</v>
      </c>
    </row>
    <row r="784" ht="15.75" customHeight="1">
      <c r="A784" s="13" t="s">
        <v>1068</v>
      </c>
      <c r="B784" s="8" t="s">
        <v>1066</v>
      </c>
      <c r="C784" s="13" t="s">
        <v>1069</v>
      </c>
      <c r="D784" s="10">
        <v>199.0</v>
      </c>
      <c r="E784" s="11">
        <f t="shared" si="80"/>
        <v>139.3</v>
      </c>
      <c r="F784" s="7" t="s">
        <v>13</v>
      </c>
    </row>
    <row r="785" ht="15.75" customHeight="1">
      <c r="A785" s="13" t="s">
        <v>1070</v>
      </c>
      <c r="B785" s="8" t="s">
        <v>1071</v>
      </c>
      <c r="C785" s="13" t="s">
        <v>1072</v>
      </c>
      <c r="D785" s="10">
        <v>249.0</v>
      </c>
      <c r="E785" s="11">
        <f t="shared" si="80"/>
        <v>174.3</v>
      </c>
      <c r="F785" s="7" t="s">
        <v>13</v>
      </c>
    </row>
    <row r="786" ht="15.75" customHeight="1">
      <c r="A786" s="13" t="s">
        <v>1073</v>
      </c>
      <c r="B786" s="8" t="s">
        <v>1071</v>
      </c>
      <c r="C786" s="13" t="s">
        <v>1074</v>
      </c>
      <c r="D786" s="10">
        <v>249.0</v>
      </c>
      <c r="E786" s="11">
        <f t="shared" si="80"/>
        <v>174.3</v>
      </c>
      <c r="F786" s="7" t="s">
        <v>13</v>
      </c>
    </row>
    <row r="787" ht="15.75" customHeight="1">
      <c r="A787" s="13" t="s">
        <v>1075</v>
      </c>
      <c r="B787" s="8" t="s">
        <v>1071</v>
      </c>
      <c r="C787" s="13" t="s">
        <v>1076</v>
      </c>
      <c r="D787" s="10">
        <v>249.0</v>
      </c>
      <c r="E787" s="11">
        <f t="shared" si="80"/>
        <v>174.3</v>
      </c>
      <c r="F787" s="7" t="s">
        <v>13</v>
      </c>
    </row>
    <row r="788" ht="15.75" customHeight="1">
      <c r="A788" s="13" t="s">
        <v>1077</v>
      </c>
      <c r="B788" s="8" t="s">
        <v>1071</v>
      </c>
      <c r="C788" s="13" t="s">
        <v>1078</v>
      </c>
      <c r="D788" s="10">
        <v>249.0</v>
      </c>
      <c r="E788" s="11">
        <f t="shared" si="80"/>
        <v>174.3</v>
      </c>
      <c r="F788" s="7" t="s">
        <v>13</v>
      </c>
    </row>
    <row r="789" ht="15.75" customHeight="1">
      <c r="A789" s="13" t="s">
        <v>1079</v>
      </c>
      <c r="B789" s="8" t="s">
        <v>1080</v>
      </c>
      <c r="C789" s="13" t="s">
        <v>1081</v>
      </c>
      <c r="D789" s="10">
        <v>249.0</v>
      </c>
      <c r="E789" s="11">
        <f t="shared" si="80"/>
        <v>174.3</v>
      </c>
      <c r="F789" s="7" t="s">
        <v>13</v>
      </c>
    </row>
    <row r="790" ht="15.75" customHeight="1">
      <c r="A790" s="13" t="s">
        <v>1082</v>
      </c>
      <c r="B790" s="8" t="s">
        <v>1080</v>
      </c>
      <c r="C790" s="13" t="s">
        <v>1083</v>
      </c>
      <c r="D790" s="10">
        <v>249.0</v>
      </c>
      <c r="E790" s="11">
        <f t="shared" si="80"/>
        <v>174.3</v>
      </c>
      <c r="F790" s="7" t="s">
        <v>13</v>
      </c>
    </row>
    <row r="791" ht="15.75" customHeight="1">
      <c r="A791" s="13" t="s">
        <v>1084</v>
      </c>
      <c r="B791" s="8" t="s">
        <v>1080</v>
      </c>
      <c r="C791" s="13" t="s">
        <v>1085</v>
      </c>
      <c r="D791" s="10">
        <v>249.0</v>
      </c>
      <c r="E791" s="11">
        <f t="shared" si="80"/>
        <v>174.3</v>
      </c>
      <c r="F791" s="7" t="s">
        <v>13</v>
      </c>
    </row>
    <row r="792" ht="15.75" customHeight="1">
      <c r="A792" s="13" t="s">
        <v>1086</v>
      </c>
      <c r="B792" s="8" t="s">
        <v>1080</v>
      </c>
      <c r="C792" s="13" t="s">
        <v>1085</v>
      </c>
      <c r="D792" s="10">
        <v>249.0</v>
      </c>
      <c r="E792" s="11">
        <f t="shared" si="80"/>
        <v>174.3</v>
      </c>
      <c r="F792" s="7" t="s">
        <v>13</v>
      </c>
    </row>
    <row r="793" ht="15.75" customHeight="1">
      <c r="A793" s="13" t="s">
        <v>1087</v>
      </c>
      <c r="B793" s="8" t="s">
        <v>1080</v>
      </c>
      <c r="C793" s="13" t="s">
        <v>1088</v>
      </c>
      <c r="D793" s="10">
        <v>249.0</v>
      </c>
      <c r="E793" s="11">
        <f t="shared" si="80"/>
        <v>174.3</v>
      </c>
      <c r="F793" s="7" t="s">
        <v>13</v>
      </c>
    </row>
    <row r="794" ht="15.75" customHeight="1">
      <c r="A794" s="13" t="s">
        <v>1089</v>
      </c>
      <c r="B794" s="8" t="s">
        <v>1080</v>
      </c>
      <c r="C794" s="13" t="s">
        <v>1088</v>
      </c>
      <c r="D794" s="10">
        <v>249.0</v>
      </c>
      <c r="E794" s="11">
        <f t="shared" si="80"/>
        <v>174.3</v>
      </c>
      <c r="F794" s="7" t="s">
        <v>13</v>
      </c>
    </row>
    <row r="795" ht="15.75" customHeight="1">
      <c r="A795" s="13" t="s">
        <v>1090</v>
      </c>
      <c r="B795" s="8" t="s">
        <v>1080</v>
      </c>
      <c r="C795" s="13" t="s">
        <v>1091</v>
      </c>
      <c r="D795" s="10">
        <v>249.0</v>
      </c>
      <c r="E795" s="11">
        <f t="shared" si="80"/>
        <v>174.3</v>
      </c>
      <c r="F795" s="7" t="s">
        <v>13</v>
      </c>
    </row>
    <row r="796" ht="15.75" customHeight="1">
      <c r="A796" s="13" t="s">
        <v>1092</v>
      </c>
      <c r="B796" s="8" t="s">
        <v>1080</v>
      </c>
      <c r="C796" s="13" t="s">
        <v>1093</v>
      </c>
      <c r="D796" s="10">
        <v>249.0</v>
      </c>
      <c r="E796" s="11">
        <f t="shared" si="80"/>
        <v>174.3</v>
      </c>
      <c r="F796" s="7" t="s">
        <v>13</v>
      </c>
    </row>
    <row r="797" ht="15.75" customHeight="1">
      <c r="A797" s="13" t="s">
        <v>1094</v>
      </c>
      <c r="B797" s="8" t="s">
        <v>1095</v>
      </c>
      <c r="C797" s="13" t="s">
        <v>1096</v>
      </c>
      <c r="D797" s="10">
        <v>299.0</v>
      </c>
      <c r="E797" s="11">
        <f t="shared" si="80"/>
        <v>209.3</v>
      </c>
      <c r="F797" s="7" t="s">
        <v>13</v>
      </c>
    </row>
    <row r="798" ht="15.75" customHeight="1">
      <c r="A798" s="13" t="s">
        <v>1097</v>
      </c>
      <c r="B798" s="8" t="s">
        <v>1095</v>
      </c>
      <c r="C798" s="13" t="s">
        <v>1096</v>
      </c>
      <c r="D798" s="10">
        <v>299.0</v>
      </c>
      <c r="E798" s="11">
        <f t="shared" si="80"/>
        <v>209.3</v>
      </c>
      <c r="F798" s="7" t="s">
        <v>13</v>
      </c>
    </row>
    <row r="799" ht="15.75" customHeight="1">
      <c r="A799" s="13" t="s">
        <v>1098</v>
      </c>
      <c r="B799" s="8" t="s">
        <v>1095</v>
      </c>
      <c r="C799" s="13" t="s">
        <v>1099</v>
      </c>
      <c r="D799" s="10">
        <v>299.0</v>
      </c>
      <c r="E799" s="11">
        <f t="shared" si="80"/>
        <v>209.3</v>
      </c>
      <c r="F799" s="7" t="s">
        <v>13</v>
      </c>
    </row>
    <row r="800" ht="15.75" customHeight="1">
      <c r="A800" s="13" t="s">
        <v>1100</v>
      </c>
      <c r="B800" s="8" t="s">
        <v>1095</v>
      </c>
      <c r="C800" s="13" t="s">
        <v>1099</v>
      </c>
      <c r="D800" s="10">
        <v>299.0</v>
      </c>
      <c r="E800" s="11">
        <f t="shared" si="80"/>
        <v>209.3</v>
      </c>
      <c r="F800" s="7" t="s">
        <v>13</v>
      </c>
    </row>
    <row r="801" ht="15.75" customHeight="1">
      <c r="A801" s="13" t="s">
        <v>1101</v>
      </c>
      <c r="B801" s="8" t="s">
        <v>1095</v>
      </c>
      <c r="C801" s="13" t="s">
        <v>1102</v>
      </c>
      <c r="D801" s="10">
        <v>299.0</v>
      </c>
      <c r="E801" s="11">
        <f t="shared" si="80"/>
        <v>209.3</v>
      </c>
      <c r="F801" s="7" t="s">
        <v>13</v>
      </c>
    </row>
    <row r="802" ht="15.75" customHeight="1">
      <c r="A802" s="13" t="s">
        <v>1103</v>
      </c>
      <c r="B802" s="8" t="s">
        <v>1095</v>
      </c>
      <c r="C802" s="13" t="s">
        <v>1104</v>
      </c>
      <c r="D802" s="10">
        <v>299.0</v>
      </c>
      <c r="E802" s="11">
        <f t="shared" si="80"/>
        <v>209.3</v>
      </c>
      <c r="F802" s="7" t="s">
        <v>13</v>
      </c>
    </row>
    <row r="803" ht="15.75" customHeight="1">
      <c r="A803" s="13" t="s">
        <v>1105</v>
      </c>
      <c r="B803" s="8" t="s">
        <v>1095</v>
      </c>
      <c r="C803" s="13" t="s">
        <v>1106</v>
      </c>
      <c r="D803" s="10">
        <v>299.0</v>
      </c>
      <c r="E803" s="11">
        <f t="shared" si="80"/>
        <v>209.3</v>
      </c>
      <c r="F803" s="7" t="s">
        <v>13</v>
      </c>
    </row>
    <row r="804" ht="15.75" customHeight="1">
      <c r="A804" s="13" t="s">
        <v>1107</v>
      </c>
      <c r="B804" s="8" t="s">
        <v>1095</v>
      </c>
      <c r="C804" s="13" t="s">
        <v>1093</v>
      </c>
      <c r="D804" s="10">
        <v>349.0</v>
      </c>
      <c r="E804" s="11">
        <f t="shared" si="80"/>
        <v>244.3</v>
      </c>
      <c r="F804" s="7" t="s">
        <v>13</v>
      </c>
    </row>
    <row r="805" ht="15.75" customHeight="1">
      <c r="A805" s="13" t="s">
        <v>1108</v>
      </c>
      <c r="B805" s="8" t="s">
        <v>1095</v>
      </c>
      <c r="C805" s="13" t="s">
        <v>1109</v>
      </c>
      <c r="D805" s="10">
        <v>299.0</v>
      </c>
      <c r="E805" s="11">
        <f t="shared" si="80"/>
        <v>209.3</v>
      </c>
      <c r="F805" s="7" t="s">
        <v>13</v>
      </c>
    </row>
    <row r="806" ht="15.75" customHeight="1">
      <c r="A806" s="13" t="s">
        <v>1110</v>
      </c>
      <c r="B806" s="8" t="s">
        <v>1111</v>
      </c>
      <c r="C806" s="13" t="s">
        <v>1112</v>
      </c>
      <c r="D806" s="10">
        <v>349.0</v>
      </c>
      <c r="E806" s="11">
        <f t="shared" si="80"/>
        <v>244.3</v>
      </c>
      <c r="F806" s="7" t="s">
        <v>13</v>
      </c>
    </row>
    <row r="807" ht="15.75" customHeight="1">
      <c r="A807" s="13" t="s">
        <v>1113</v>
      </c>
      <c r="B807" s="8" t="s">
        <v>1114</v>
      </c>
      <c r="C807" s="13" t="s">
        <v>1048</v>
      </c>
      <c r="D807" s="10">
        <v>449.0</v>
      </c>
      <c r="E807" s="11">
        <f t="shared" si="80"/>
        <v>314.3</v>
      </c>
      <c r="F807" s="7" t="s">
        <v>13</v>
      </c>
    </row>
    <row r="808" ht="15.75" customHeight="1">
      <c r="A808" s="13" t="s">
        <v>1115</v>
      </c>
      <c r="B808" s="8" t="s">
        <v>1116</v>
      </c>
      <c r="C808" s="13" t="s">
        <v>1117</v>
      </c>
      <c r="D808" s="10">
        <v>649.0</v>
      </c>
      <c r="E808" s="11">
        <f t="shared" si="80"/>
        <v>454.3</v>
      </c>
      <c r="F808" s="7" t="s">
        <v>13</v>
      </c>
    </row>
    <row r="809" ht="15.75" customHeight="1">
      <c r="A809" s="13" t="s">
        <v>1118</v>
      </c>
      <c r="B809" s="8" t="s">
        <v>1119</v>
      </c>
      <c r="C809" s="13" t="s">
        <v>1120</v>
      </c>
      <c r="D809" s="10">
        <v>699.0</v>
      </c>
      <c r="E809" s="11">
        <f t="shared" si="80"/>
        <v>489.3</v>
      </c>
      <c r="F809" s="7" t="s">
        <v>13</v>
      </c>
    </row>
    <row r="810" ht="15.75" customHeight="1">
      <c r="A810" s="13" t="s">
        <v>1121</v>
      </c>
      <c r="B810" s="8" t="s">
        <v>1119</v>
      </c>
      <c r="C810" s="13" t="s">
        <v>1122</v>
      </c>
      <c r="D810" s="10">
        <v>699.0</v>
      </c>
      <c r="E810" s="11">
        <f t="shared" si="80"/>
        <v>489.3</v>
      </c>
      <c r="F810" s="7" t="s">
        <v>13</v>
      </c>
    </row>
    <row r="811" ht="15.75" customHeight="1">
      <c r="A811" s="13" t="s">
        <v>1123</v>
      </c>
      <c r="B811" s="8" t="s">
        <v>1124</v>
      </c>
      <c r="C811" s="13" t="s">
        <v>1125</v>
      </c>
      <c r="D811" s="10">
        <v>149.0</v>
      </c>
      <c r="E811" s="11">
        <f t="shared" si="80"/>
        <v>104.3</v>
      </c>
      <c r="F811" s="10" t="s">
        <v>13</v>
      </c>
    </row>
    <row r="812" ht="15.75" customHeight="1">
      <c r="A812" s="13" t="s">
        <v>1126</v>
      </c>
      <c r="B812" s="8" t="s">
        <v>1127</v>
      </c>
      <c r="C812" s="13" t="s">
        <v>1128</v>
      </c>
      <c r="D812" s="10">
        <v>149.0</v>
      </c>
      <c r="E812" s="11">
        <f t="shared" si="80"/>
        <v>104.3</v>
      </c>
      <c r="F812" s="10" t="s">
        <v>13</v>
      </c>
    </row>
    <row r="813" ht="15.75" customHeight="1">
      <c r="A813" s="71" t="s">
        <v>1129</v>
      </c>
      <c r="B813" s="72"/>
      <c r="C813" s="72"/>
      <c r="D813" s="72"/>
      <c r="E813" s="73"/>
      <c r="F813" s="72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9" t="s">
        <v>1130</v>
      </c>
      <c r="B814" s="8" t="s">
        <v>1131</v>
      </c>
      <c r="C814" s="9" t="s">
        <v>1132</v>
      </c>
      <c r="D814" s="10">
        <v>19.0</v>
      </c>
      <c r="E814" s="11">
        <f t="shared" ref="E814:E848" si="81">SUM(D814*0.8)</f>
        <v>15.2</v>
      </c>
      <c r="F814" s="7" t="s">
        <v>13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9" t="s">
        <v>1133</v>
      </c>
      <c r="B815" s="8" t="s">
        <v>1134</v>
      </c>
      <c r="C815" s="9" t="s">
        <v>1135</v>
      </c>
      <c r="D815" s="10">
        <v>79.0</v>
      </c>
      <c r="E815" s="11">
        <f t="shared" si="81"/>
        <v>63.2</v>
      </c>
      <c r="F815" s="7" t="s">
        <v>13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9" t="s">
        <v>1136</v>
      </c>
      <c r="B816" s="8" t="s">
        <v>1134</v>
      </c>
      <c r="C816" s="9" t="s">
        <v>1137</v>
      </c>
      <c r="D816" s="10">
        <v>69.0</v>
      </c>
      <c r="E816" s="11">
        <f t="shared" si="81"/>
        <v>55.2</v>
      </c>
      <c r="F816" s="7" t="s">
        <v>13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9" t="s">
        <v>1138</v>
      </c>
      <c r="B817" s="8" t="s">
        <v>1139</v>
      </c>
      <c r="C817" s="9" t="s">
        <v>1140</v>
      </c>
      <c r="D817" s="10">
        <v>99.0</v>
      </c>
      <c r="E817" s="11">
        <f t="shared" si="81"/>
        <v>79.2</v>
      </c>
      <c r="F817" s="7" t="s">
        <v>13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9" t="s">
        <v>1141</v>
      </c>
      <c r="B818" s="8" t="s">
        <v>1142</v>
      </c>
      <c r="C818" s="9" t="s">
        <v>1143</v>
      </c>
      <c r="D818" s="10">
        <v>19.0</v>
      </c>
      <c r="E818" s="11">
        <f t="shared" si="81"/>
        <v>15.2</v>
      </c>
      <c r="F818" s="7" t="s">
        <v>13</v>
      </c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9" t="s">
        <v>1144</v>
      </c>
      <c r="B819" s="8" t="s">
        <v>1145</v>
      </c>
      <c r="C819" s="9" t="s">
        <v>1146</v>
      </c>
      <c r="D819" s="10">
        <v>25.0</v>
      </c>
      <c r="E819" s="11">
        <f t="shared" si="81"/>
        <v>20</v>
      </c>
      <c r="F819" s="7" t="s">
        <v>13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9" t="s">
        <v>1147</v>
      </c>
      <c r="B820" s="8" t="s">
        <v>1148</v>
      </c>
      <c r="C820" s="9" t="s">
        <v>1149</v>
      </c>
      <c r="D820" s="10">
        <v>29.0</v>
      </c>
      <c r="E820" s="11">
        <f t="shared" si="81"/>
        <v>23.2</v>
      </c>
      <c r="F820" s="7" t="s">
        <v>13</v>
      </c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 t="s">
        <v>1150</v>
      </c>
      <c r="B821" s="8" t="s">
        <v>1151</v>
      </c>
      <c r="C821" s="9" t="s">
        <v>1152</v>
      </c>
      <c r="D821" s="10">
        <v>19.0</v>
      </c>
      <c r="E821" s="11">
        <f t="shared" si="81"/>
        <v>15.2</v>
      </c>
      <c r="F821" s="7" t="s">
        <v>13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9" t="s">
        <v>1153</v>
      </c>
      <c r="B822" s="8" t="s">
        <v>1139</v>
      </c>
      <c r="C822" s="9" t="s">
        <v>1154</v>
      </c>
      <c r="D822" s="10">
        <v>99.0</v>
      </c>
      <c r="E822" s="11">
        <f t="shared" si="81"/>
        <v>79.2</v>
      </c>
      <c r="F822" s="7" t="s">
        <v>13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9" t="s">
        <v>1155</v>
      </c>
      <c r="B823" s="8" t="s">
        <v>1156</v>
      </c>
      <c r="C823" s="9" t="s">
        <v>1157</v>
      </c>
      <c r="D823" s="10">
        <v>19.0</v>
      </c>
      <c r="E823" s="11">
        <f t="shared" si="81"/>
        <v>15.2</v>
      </c>
      <c r="F823" s="7" t="s">
        <v>13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9" t="s">
        <v>1158</v>
      </c>
      <c r="B824" s="8" t="s">
        <v>1159</v>
      </c>
      <c r="C824" s="9" t="s">
        <v>1160</v>
      </c>
      <c r="D824" s="10">
        <v>19.0</v>
      </c>
      <c r="E824" s="11">
        <f t="shared" si="81"/>
        <v>15.2</v>
      </c>
      <c r="F824" s="7" t="s">
        <v>13</v>
      </c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9" t="s">
        <v>1161</v>
      </c>
      <c r="B825" s="8" t="s">
        <v>1162</v>
      </c>
      <c r="C825" s="9" t="s">
        <v>1163</v>
      </c>
      <c r="D825" s="10">
        <v>29.0</v>
      </c>
      <c r="E825" s="11">
        <f t="shared" si="81"/>
        <v>23.2</v>
      </c>
      <c r="F825" s="7" t="s">
        <v>13</v>
      </c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9" t="s">
        <v>1164</v>
      </c>
      <c r="B826" s="74" t="s">
        <v>1165</v>
      </c>
      <c r="C826" s="75" t="s">
        <v>1166</v>
      </c>
      <c r="D826" s="10">
        <v>19.0</v>
      </c>
      <c r="E826" s="11">
        <f t="shared" si="81"/>
        <v>15.2</v>
      </c>
      <c r="F826" s="7" t="s">
        <v>13</v>
      </c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9" t="s">
        <v>1167</v>
      </c>
      <c r="B827" s="8" t="s">
        <v>1168</v>
      </c>
      <c r="C827" s="9" t="s">
        <v>1169</v>
      </c>
      <c r="D827" s="10">
        <v>29.0</v>
      </c>
      <c r="E827" s="11">
        <f t="shared" si="81"/>
        <v>23.2</v>
      </c>
      <c r="F827" s="7" t="s">
        <v>13</v>
      </c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9" t="s">
        <v>1170</v>
      </c>
      <c r="B828" s="74" t="s">
        <v>1171</v>
      </c>
      <c r="C828" s="75" t="s">
        <v>1172</v>
      </c>
      <c r="D828" s="10">
        <v>69.0</v>
      </c>
      <c r="E828" s="11">
        <f t="shared" si="81"/>
        <v>55.2</v>
      </c>
      <c r="F828" s="7" t="s">
        <v>13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9" t="s">
        <v>1173</v>
      </c>
      <c r="B829" s="8" t="s">
        <v>1174</v>
      </c>
      <c r="C829" s="9" t="s">
        <v>1175</v>
      </c>
      <c r="D829" s="10">
        <v>25.0</v>
      </c>
      <c r="E829" s="11">
        <f t="shared" si="81"/>
        <v>20</v>
      </c>
      <c r="F829" s="7" t="s">
        <v>13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9" t="s">
        <v>1176</v>
      </c>
      <c r="B830" s="8" t="s">
        <v>1177</v>
      </c>
      <c r="C830" s="9" t="s">
        <v>1178</v>
      </c>
      <c r="D830" s="10">
        <v>29.0</v>
      </c>
      <c r="E830" s="11">
        <f t="shared" si="81"/>
        <v>23.2</v>
      </c>
      <c r="F830" s="7" t="s">
        <v>13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9" t="s">
        <v>1179</v>
      </c>
      <c r="B831" s="8" t="s">
        <v>1180</v>
      </c>
      <c r="C831" s="9" t="s">
        <v>1181</v>
      </c>
      <c r="D831" s="10">
        <v>79.0</v>
      </c>
      <c r="E831" s="11">
        <f t="shared" si="81"/>
        <v>63.2</v>
      </c>
      <c r="F831" s="7" t="s">
        <v>13</v>
      </c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25.5" customHeight="1">
      <c r="A832" s="9" t="s">
        <v>1182</v>
      </c>
      <c r="B832" s="48" t="s">
        <v>1183</v>
      </c>
      <c r="C832" s="47" t="s">
        <v>1184</v>
      </c>
      <c r="D832" s="50">
        <v>30.0</v>
      </c>
      <c r="E832" s="51">
        <f t="shared" si="81"/>
        <v>24</v>
      </c>
      <c r="F832" s="76" t="s">
        <v>13</v>
      </c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9" t="s">
        <v>1185</v>
      </c>
      <c r="B833" s="8" t="s">
        <v>1186</v>
      </c>
      <c r="C833" s="13" t="s">
        <v>1187</v>
      </c>
      <c r="D833" s="10">
        <v>158.0</v>
      </c>
      <c r="E833" s="11">
        <f t="shared" si="81"/>
        <v>126.4</v>
      </c>
      <c r="F833" s="7" t="s">
        <v>13</v>
      </c>
    </row>
    <row r="834" ht="15.75" customHeight="1">
      <c r="A834" s="9" t="s">
        <v>1188</v>
      </c>
      <c r="B834" s="8" t="s">
        <v>1180</v>
      </c>
      <c r="C834" s="13" t="s">
        <v>1189</v>
      </c>
      <c r="D834" s="10">
        <v>79.0</v>
      </c>
      <c r="E834" s="11">
        <f t="shared" si="81"/>
        <v>63.2</v>
      </c>
      <c r="F834" s="7" t="s">
        <v>13</v>
      </c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9" t="s">
        <v>1190</v>
      </c>
      <c r="B835" s="8" t="s">
        <v>1191</v>
      </c>
      <c r="C835" s="13" t="s">
        <v>1192</v>
      </c>
      <c r="D835" s="10">
        <v>159.0</v>
      </c>
      <c r="E835" s="11">
        <f t="shared" si="81"/>
        <v>127.2</v>
      </c>
      <c r="F835" s="7" t="s">
        <v>13</v>
      </c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9" t="s">
        <v>1193</v>
      </c>
      <c r="B836" s="8" t="s">
        <v>1194</v>
      </c>
      <c r="C836" s="9" t="s">
        <v>1195</v>
      </c>
      <c r="D836" s="10">
        <v>19.0</v>
      </c>
      <c r="E836" s="11">
        <f t="shared" si="81"/>
        <v>15.2</v>
      </c>
      <c r="F836" s="7" t="s">
        <v>13</v>
      </c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7" t="s">
        <v>1196</v>
      </c>
      <c r="B837" s="8" t="s">
        <v>1197</v>
      </c>
      <c r="C837" s="13" t="s">
        <v>1198</v>
      </c>
      <c r="D837" s="11">
        <v>319.0</v>
      </c>
      <c r="E837" s="11">
        <f t="shared" si="81"/>
        <v>255.2</v>
      </c>
      <c r="F837" s="7" t="s">
        <v>13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9" t="s">
        <v>1199</v>
      </c>
      <c r="B838" s="8" t="s">
        <v>1200</v>
      </c>
      <c r="C838" s="9" t="s">
        <v>1201</v>
      </c>
      <c r="D838" s="10">
        <v>19.0</v>
      </c>
      <c r="E838" s="11">
        <f t="shared" si="81"/>
        <v>15.2</v>
      </c>
      <c r="F838" s="7" t="s">
        <v>13</v>
      </c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9" t="s">
        <v>1202</v>
      </c>
      <c r="B839" s="8" t="s">
        <v>1203</v>
      </c>
      <c r="C839" s="9" t="s">
        <v>1204</v>
      </c>
      <c r="D839" s="10">
        <v>29.0</v>
      </c>
      <c r="E839" s="11">
        <f t="shared" si="81"/>
        <v>23.2</v>
      </c>
      <c r="F839" s="7" t="s">
        <v>13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9" t="s">
        <v>1205</v>
      </c>
      <c r="B840" s="8" t="s">
        <v>1206</v>
      </c>
      <c r="C840" s="9" t="s">
        <v>1207</v>
      </c>
      <c r="D840" s="10">
        <v>99.0</v>
      </c>
      <c r="E840" s="11">
        <f t="shared" si="81"/>
        <v>79.2</v>
      </c>
      <c r="F840" s="7" t="s">
        <v>13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47" t="s">
        <v>1208</v>
      </c>
      <c r="B841" s="48" t="s">
        <v>1209</v>
      </c>
      <c r="C841" s="47" t="s">
        <v>1210</v>
      </c>
      <c r="D841" s="50">
        <v>99.0</v>
      </c>
      <c r="E841" s="51">
        <f t="shared" si="81"/>
        <v>79.2</v>
      </c>
      <c r="F841" s="77" t="s">
        <v>13</v>
      </c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28.5" customHeight="1">
      <c r="A842" s="47" t="s">
        <v>1211</v>
      </c>
      <c r="B842" s="48" t="s">
        <v>1212</v>
      </c>
      <c r="C842" s="47" t="s">
        <v>1213</v>
      </c>
      <c r="D842" s="50">
        <v>99.0</v>
      </c>
      <c r="E842" s="51">
        <f t="shared" si="81"/>
        <v>79.2</v>
      </c>
      <c r="F842" s="77" t="s">
        <v>13</v>
      </c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28.5" customHeight="1">
      <c r="A843" s="79" t="s">
        <v>1214</v>
      </c>
      <c r="B843" s="80" t="s">
        <v>1215</v>
      </c>
      <c r="C843" s="47" t="s">
        <v>1216</v>
      </c>
      <c r="D843" s="50">
        <v>99.0</v>
      </c>
      <c r="E843" s="51">
        <f t="shared" si="81"/>
        <v>79.2</v>
      </c>
      <c r="F843" s="76" t="s">
        <v>13</v>
      </c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15.75" customHeight="1">
      <c r="A844" s="79" t="s">
        <v>1217</v>
      </c>
      <c r="B844" s="80" t="s">
        <v>1215</v>
      </c>
      <c r="C844" s="47" t="s">
        <v>1218</v>
      </c>
      <c r="D844" s="50">
        <v>99.0</v>
      </c>
      <c r="E844" s="51">
        <f t="shared" si="81"/>
        <v>79.2</v>
      </c>
      <c r="F844" s="76" t="s">
        <v>13</v>
      </c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15.75" customHeight="1">
      <c r="A845" s="38" t="s">
        <v>1219</v>
      </c>
      <c r="B845" s="82" t="s">
        <v>1220</v>
      </c>
      <c r="C845" s="13" t="s">
        <v>1221</v>
      </c>
      <c r="D845" s="10">
        <v>9.0</v>
      </c>
      <c r="E845" s="11">
        <f t="shared" si="81"/>
        <v>7.2</v>
      </c>
      <c r="F845" s="7" t="s">
        <v>13</v>
      </c>
    </row>
    <row r="846" ht="15.75" customHeight="1">
      <c r="A846" s="13" t="s">
        <v>1222</v>
      </c>
      <c r="B846" s="8" t="s">
        <v>1220</v>
      </c>
      <c r="C846" s="13" t="s">
        <v>1223</v>
      </c>
      <c r="D846" s="10">
        <v>9.0</v>
      </c>
      <c r="E846" s="11">
        <f t="shared" si="81"/>
        <v>7.2</v>
      </c>
      <c r="F846" s="7" t="s">
        <v>13</v>
      </c>
    </row>
    <row r="847" ht="15.75" customHeight="1">
      <c r="A847" s="13" t="s">
        <v>1224</v>
      </c>
      <c r="B847" s="8" t="s">
        <v>1225</v>
      </c>
      <c r="C847" s="13" t="s">
        <v>1226</v>
      </c>
      <c r="D847" s="10">
        <v>19.0</v>
      </c>
      <c r="E847" s="11">
        <f t="shared" si="81"/>
        <v>15.2</v>
      </c>
      <c r="F847" s="10" t="s">
        <v>13</v>
      </c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 t="s">
        <v>1227</v>
      </c>
      <c r="B848" s="8" t="s">
        <v>1228</v>
      </c>
      <c r="C848" s="13" t="s">
        <v>1229</v>
      </c>
      <c r="D848" s="10">
        <v>169.0</v>
      </c>
      <c r="E848" s="11">
        <f t="shared" si="81"/>
        <v>135.2</v>
      </c>
      <c r="F848" s="10" t="s">
        <v>13</v>
      </c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 t="s">
        <v>1230</v>
      </c>
      <c r="B849" s="8" t="s">
        <v>1231</v>
      </c>
      <c r="C849" s="13" t="s">
        <v>1232</v>
      </c>
      <c r="D849" s="10"/>
      <c r="E849" s="11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9" t="s">
        <v>1233</v>
      </c>
      <c r="B850" s="8" t="s">
        <v>1234</v>
      </c>
      <c r="C850" s="9" t="s">
        <v>1235</v>
      </c>
      <c r="D850" s="10">
        <v>19.0</v>
      </c>
      <c r="E850" s="11">
        <f t="shared" ref="E850:E854" si="82">SUM(D850*0.8)</f>
        <v>15.2</v>
      </c>
      <c r="F850" s="7" t="s">
        <v>13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9" t="s">
        <v>1236</v>
      </c>
      <c r="B851" s="8" t="s">
        <v>1237</v>
      </c>
      <c r="C851" s="9" t="s">
        <v>1238</v>
      </c>
      <c r="D851" s="10">
        <v>29.0</v>
      </c>
      <c r="E851" s="11">
        <f t="shared" si="82"/>
        <v>23.2</v>
      </c>
      <c r="F851" s="7" t="s">
        <v>13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9" t="s">
        <v>1239</v>
      </c>
      <c r="B852" s="8" t="s">
        <v>1240</v>
      </c>
      <c r="C852" s="9" t="s">
        <v>1241</v>
      </c>
      <c r="D852" s="10">
        <v>19.0</v>
      </c>
      <c r="E852" s="11">
        <f t="shared" si="82"/>
        <v>15.2</v>
      </c>
      <c r="F852" s="7" t="s">
        <v>13</v>
      </c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9" t="s">
        <v>1242</v>
      </c>
      <c r="B853" s="8" t="s">
        <v>1243</v>
      </c>
      <c r="C853" s="9" t="s">
        <v>1244</v>
      </c>
      <c r="D853" s="10">
        <v>99.0</v>
      </c>
      <c r="E853" s="11">
        <f t="shared" si="82"/>
        <v>79.2</v>
      </c>
      <c r="F853" s="7" t="s">
        <v>13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9" t="s">
        <v>1245</v>
      </c>
      <c r="B854" s="8" t="s">
        <v>1246</v>
      </c>
      <c r="C854" s="9" t="s">
        <v>1247</v>
      </c>
      <c r="D854" s="10">
        <v>79.0</v>
      </c>
      <c r="E854" s="11">
        <f t="shared" si="82"/>
        <v>63.2</v>
      </c>
      <c r="F854" s="7" t="s">
        <v>13</v>
      </c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 t="s">
        <v>1248</v>
      </c>
      <c r="B855" s="8" t="s">
        <v>1249</v>
      </c>
      <c r="C855" s="13" t="s">
        <v>1250</v>
      </c>
      <c r="D855" s="11">
        <v>9.0</v>
      </c>
      <c r="E855" s="10">
        <f>D855*0.8</f>
        <v>7.2</v>
      </c>
      <c r="F855" s="10" t="s">
        <v>13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 t="s">
        <v>1251</v>
      </c>
      <c r="B856" s="8" t="s">
        <v>1237</v>
      </c>
      <c r="C856" s="9" t="s">
        <v>1252</v>
      </c>
      <c r="D856" s="10">
        <v>39.0</v>
      </c>
      <c r="E856" s="11">
        <f t="shared" ref="E856:E887" si="83">SUM(D856*0.8)</f>
        <v>31.2</v>
      </c>
      <c r="F856" s="7" t="s">
        <v>13</v>
      </c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9" t="s">
        <v>1253</v>
      </c>
      <c r="B857" s="8" t="s">
        <v>1254</v>
      </c>
      <c r="C857" s="9" t="s">
        <v>1255</v>
      </c>
      <c r="D857" s="10">
        <v>59.0</v>
      </c>
      <c r="E857" s="11">
        <f t="shared" si="83"/>
        <v>47.2</v>
      </c>
      <c r="F857" s="7" t="s">
        <v>13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 t="s">
        <v>1256</v>
      </c>
      <c r="B858" s="8" t="s">
        <v>1257</v>
      </c>
      <c r="C858" s="13" t="s">
        <v>1258</v>
      </c>
      <c r="D858" s="10">
        <v>9.0</v>
      </c>
      <c r="E858" s="11">
        <f t="shared" si="83"/>
        <v>7.2</v>
      </c>
      <c r="F858" s="7" t="s">
        <v>13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 t="s">
        <v>1259</v>
      </c>
      <c r="B859" s="8" t="s">
        <v>1260</v>
      </c>
      <c r="C859" s="13" t="s">
        <v>1261</v>
      </c>
      <c r="D859" s="10">
        <v>19.0</v>
      </c>
      <c r="E859" s="11">
        <f t="shared" si="83"/>
        <v>15.2</v>
      </c>
      <c r="F859" s="7" t="s">
        <v>13</v>
      </c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9" t="s">
        <v>1262</v>
      </c>
      <c r="B860" s="8" t="s">
        <v>1263</v>
      </c>
      <c r="C860" s="9" t="s">
        <v>1264</v>
      </c>
      <c r="D860" s="10">
        <v>19.0</v>
      </c>
      <c r="E860" s="11">
        <f t="shared" si="83"/>
        <v>15.2</v>
      </c>
      <c r="F860" s="7" t="s">
        <v>13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9" t="s">
        <v>1265</v>
      </c>
      <c r="B861" s="8" t="s">
        <v>1266</v>
      </c>
      <c r="C861" s="9" t="s">
        <v>1267</v>
      </c>
      <c r="D861" s="10">
        <v>49.0</v>
      </c>
      <c r="E861" s="11">
        <f t="shared" si="83"/>
        <v>39.2</v>
      </c>
      <c r="F861" s="7" t="s">
        <v>13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9" t="s">
        <v>1268</v>
      </c>
      <c r="B862" s="8" t="s">
        <v>1269</v>
      </c>
      <c r="C862" s="9" t="s">
        <v>1269</v>
      </c>
      <c r="D862" s="10">
        <v>9.0</v>
      </c>
      <c r="E862" s="11">
        <f t="shared" si="83"/>
        <v>7.2</v>
      </c>
      <c r="F862" s="10" t="s">
        <v>13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9" t="s">
        <v>1270</v>
      </c>
      <c r="B863" s="8" t="s">
        <v>1271</v>
      </c>
      <c r="C863" s="9" t="s">
        <v>1272</v>
      </c>
      <c r="D863" s="10">
        <v>69.0</v>
      </c>
      <c r="E863" s="11">
        <f t="shared" si="83"/>
        <v>55.2</v>
      </c>
      <c r="F863" s="10" t="s">
        <v>13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9" t="s">
        <v>1273</v>
      </c>
      <c r="B864" s="8" t="s">
        <v>1274</v>
      </c>
      <c r="C864" s="13" t="s">
        <v>1275</v>
      </c>
      <c r="D864" s="10">
        <v>399.0</v>
      </c>
      <c r="E864" s="11">
        <f t="shared" si="83"/>
        <v>319.2</v>
      </c>
      <c r="F864" s="7" t="s">
        <v>13</v>
      </c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9" t="s">
        <v>1276</v>
      </c>
      <c r="B865" s="8" t="s">
        <v>1277</v>
      </c>
      <c r="C865" s="9" t="s">
        <v>1278</v>
      </c>
      <c r="D865" s="10">
        <v>369.0</v>
      </c>
      <c r="E865" s="11">
        <f t="shared" si="83"/>
        <v>295.2</v>
      </c>
      <c r="F865" s="7" t="s">
        <v>13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9" t="s">
        <v>1279</v>
      </c>
      <c r="B866" s="8" t="s">
        <v>1280</v>
      </c>
      <c r="C866" s="9" t="s">
        <v>1281</v>
      </c>
      <c r="D866" s="10">
        <v>59.0</v>
      </c>
      <c r="E866" s="11">
        <f t="shared" si="83"/>
        <v>47.2</v>
      </c>
      <c r="F866" s="7" t="s">
        <v>13</v>
      </c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9" t="s">
        <v>1282</v>
      </c>
      <c r="B867" s="8" t="s">
        <v>1283</v>
      </c>
      <c r="C867" s="9" t="s">
        <v>1284</v>
      </c>
      <c r="D867" s="10">
        <v>9.0</v>
      </c>
      <c r="E867" s="11">
        <f t="shared" si="83"/>
        <v>7.2</v>
      </c>
      <c r="F867" s="7" t="s">
        <v>13</v>
      </c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9" t="s">
        <v>1285</v>
      </c>
      <c r="B868" s="8" t="s">
        <v>1286</v>
      </c>
      <c r="C868" s="9" t="s">
        <v>1287</v>
      </c>
      <c r="D868" s="10">
        <v>9.0</v>
      </c>
      <c r="E868" s="11">
        <f t="shared" si="83"/>
        <v>7.2</v>
      </c>
      <c r="F868" s="7" t="s">
        <v>13</v>
      </c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9" t="s">
        <v>1288</v>
      </c>
      <c r="B869" s="8" t="s">
        <v>1289</v>
      </c>
      <c r="C869" s="13" t="s">
        <v>1290</v>
      </c>
      <c r="D869" s="10">
        <v>15.0</v>
      </c>
      <c r="E869" s="10">
        <f t="shared" si="83"/>
        <v>12</v>
      </c>
      <c r="F869" s="9" t="s">
        <v>13</v>
      </c>
    </row>
    <row r="870" ht="15.75" customHeight="1">
      <c r="A870" s="9" t="s">
        <v>1291</v>
      </c>
      <c r="B870" s="8" t="s">
        <v>1292</v>
      </c>
      <c r="C870" s="13" t="s">
        <v>1293</v>
      </c>
      <c r="D870" s="10">
        <v>29.0</v>
      </c>
      <c r="E870" s="11">
        <f t="shared" si="83"/>
        <v>23.2</v>
      </c>
      <c r="F870" s="7" t="s">
        <v>13</v>
      </c>
    </row>
    <row r="871" ht="15.75" customHeight="1">
      <c r="A871" s="9" t="s">
        <v>1294</v>
      </c>
      <c r="B871" s="8" t="s">
        <v>1295</v>
      </c>
      <c r="C871" s="13" t="s">
        <v>1296</v>
      </c>
      <c r="D871" s="10">
        <v>39.0</v>
      </c>
      <c r="E871" s="11">
        <f t="shared" si="83"/>
        <v>31.2</v>
      </c>
      <c r="F871" s="7" t="s">
        <v>13</v>
      </c>
    </row>
    <row r="872" ht="15.75" customHeight="1">
      <c r="A872" s="9" t="s">
        <v>1297</v>
      </c>
      <c r="B872" s="8" t="s">
        <v>1298</v>
      </c>
      <c r="C872" s="13" t="s">
        <v>1299</v>
      </c>
      <c r="D872" s="10">
        <v>19.0</v>
      </c>
      <c r="E872" s="11">
        <f t="shared" si="83"/>
        <v>15.2</v>
      </c>
      <c r="F872" s="7" t="s">
        <v>13</v>
      </c>
    </row>
    <row r="873" ht="15.75" customHeight="1">
      <c r="A873" s="9" t="s">
        <v>1300</v>
      </c>
      <c r="B873" s="8" t="s">
        <v>1301</v>
      </c>
      <c r="C873" s="13" t="s">
        <v>1302</v>
      </c>
      <c r="D873" s="10">
        <v>399.0</v>
      </c>
      <c r="E873" s="11">
        <f t="shared" si="83"/>
        <v>319.2</v>
      </c>
      <c r="F873" s="7" t="s">
        <v>13</v>
      </c>
    </row>
    <row r="874" ht="15.75" customHeight="1">
      <c r="A874" s="47" t="s">
        <v>1303</v>
      </c>
      <c r="B874" s="48" t="s">
        <v>1304</v>
      </c>
      <c r="C874" s="42" t="s">
        <v>1305</v>
      </c>
      <c r="D874" s="10">
        <v>69.0</v>
      </c>
      <c r="E874" s="11">
        <f t="shared" si="83"/>
        <v>55.2</v>
      </c>
      <c r="F874" s="10" t="s">
        <v>13</v>
      </c>
    </row>
    <row r="875" ht="13.5" customHeight="1">
      <c r="A875" s="47" t="s">
        <v>1306</v>
      </c>
      <c r="B875" s="8" t="s">
        <v>1307</v>
      </c>
      <c r="C875" s="83" t="s">
        <v>1308</v>
      </c>
      <c r="D875" s="10">
        <v>99.0</v>
      </c>
      <c r="E875" s="11">
        <f t="shared" si="83"/>
        <v>79.2</v>
      </c>
      <c r="F875" s="10" t="s">
        <v>13</v>
      </c>
    </row>
    <row r="876" ht="15.75" customHeight="1">
      <c r="A876" s="13" t="s">
        <v>1309</v>
      </c>
      <c r="B876" s="8" t="s">
        <v>1310</v>
      </c>
      <c r="C876" s="13" t="s">
        <v>1311</v>
      </c>
      <c r="D876" s="10">
        <v>25.0</v>
      </c>
      <c r="E876" s="11">
        <f t="shared" si="83"/>
        <v>20</v>
      </c>
      <c r="F876" s="7" t="s">
        <v>13</v>
      </c>
    </row>
    <row r="877" ht="15.75" customHeight="1">
      <c r="A877" s="13" t="s">
        <v>1312</v>
      </c>
      <c r="B877" s="8" t="s">
        <v>1310</v>
      </c>
      <c r="C877" s="13" t="s">
        <v>1313</v>
      </c>
      <c r="D877" s="10">
        <v>25.0</v>
      </c>
      <c r="E877" s="11">
        <f t="shared" si="83"/>
        <v>20</v>
      </c>
      <c r="F877" s="7" t="s">
        <v>13</v>
      </c>
    </row>
    <row r="878" ht="15.75" customHeight="1">
      <c r="A878" s="13" t="s">
        <v>1314</v>
      </c>
      <c r="B878" s="8" t="s">
        <v>1310</v>
      </c>
      <c r="C878" s="13" t="s">
        <v>1315</v>
      </c>
      <c r="D878" s="10">
        <v>35.0</v>
      </c>
      <c r="E878" s="11">
        <f t="shared" si="83"/>
        <v>28</v>
      </c>
      <c r="F878" s="7" t="s">
        <v>13</v>
      </c>
    </row>
    <row r="879" ht="15.75" customHeight="1">
      <c r="A879" s="13" t="s">
        <v>1316</v>
      </c>
      <c r="B879" s="8" t="s">
        <v>1310</v>
      </c>
      <c r="C879" s="13" t="s">
        <v>1317</v>
      </c>
      <c r="D879" s="10">
        <v>25.0</v>
      </c>
      <c r="E879" s="11">
        <f t="shared" si="83"/>
        <v>20</v>
      </c>
      <c r="F879" s="7" t="s">
        <v>13</v>
      </c>
    </row>
    <row r="880" ht="15.75" customHeight="1">
      <c r="A880" s="13" t="s">
        <v>1318</v>
      </c>
      <c r="B880" s="8" t="s">
        <v>1310</v>
      </c>
      <c r="C880" s="13" t="s">
        <v>1319</v>
      </c>
      <c r="D880" s="10">
        <v>25.0</v>
      </c>
      <c r="E880" s="11">
        <f t="shared" si="83"/>
        <v>20</v>
      </c>
      <c r="F880" s="7" t="s">
        <v>13</v>
      </c>
    </row>
    <row r="881" ht="15.75" customHeight="1">
      <c r="A881" s="13" t="s">
        <v>1320</v>
      </c>
      <c r="B881" s="8" t="s">
        <v>1310</v>
      </c>
      <c r="C881" s="13" t="s">
        <v>1321</v>
      </c>
      <c r="D881" s="10">
        <v>15.0</v>
      </c>
      <c r="E881" s="11">
        <f t="shared" si="83"/>
        <v>12</v>
      </c>
      <c r="F881" s="7" t="s">
        <v>13</v>
      </c>
    </row>
    <row r="882" ht="15.75" customHeight="1">
      <c r="A882" s="13" t="s">
        <v>1322</v>
      </c>
      <c r="B882" s="8" t="s">
        <v>1310</v>
      </c>
      <c r="C882" s="13" t="s">
        <v>1323</v>
      </c>
      <c r="D882" s="10">
        <v>25.0</v>
      </c>
      <c r="E882" s="11">
        <f t="shared" si="83"/>
        <v>20</v>
      </c>
      <c r="F882" s="7" t="s">
        <v>13</v>
      </c>
    </row>
    <row r="883" ht="15.75" customHeight="1">
      <c r="A883" s="13" t="s">
        <v>1324</v>
      </c>
      <c r="B883" s="8" t="s">
        <v>1310</v>
      </c>
      <c r="C883" s="13" t="s">
        <v>1325</v>
      </c>
      <c r="D883" s="10">
        <v>25.0</v>
      </c>
      <c r="E883" s="11">
        <f t="shared" si="83"/>
        <v>20</v>
      </c>
      <c r="F883" s="7" t="s">
        <v>13</v>
      </c>
    </row>
    <row r="884" ht="15.75" customHeight="1">
      <c r="A884" s="13" t="s">
        <v>1326</v>
      </c>
      <c r="B884" s="8" t="s">
        <v>1310</v>
      </c>
      <c r="C884" s="13" t="s">
        <v>1327</v>
      </c>
      <c r="D884" s="10">
        <v>15.0</v>
      </c>
      <c r="E884" s="11">
        <f t="shared" si="83"/>
        <v>12</v>
      </c>
      <c r="F884" s="7" t="s">
        <v>13</v>
      </c>
    </row>
    <row r="885" ht="15.75" customHeight="1">
      <c r="A885" s="13" t="s">
        <v>1328</v>
      </c>
      <c r="B885" s="8" t="s">
        <v>1310</v>
      </c>
      <c r="C885" s="13" t="s">
        <v>1329</v>
      </c>
      <c r="D885" s="10">
        <v>25.0</v>
      </c>
      <c r="E885" s="11">
        <f t="shared" si="83"/>
        <v>20</v>
      </c>
      <c r="F885" s="7" t="s">
        <v>13</v>
      </c>
    </row>
    <row r="886" ht="15.75" customHeight="1">
      <c r="A886" s="13" t="s">
        <v>1330</v>
      </c>
      <c r="B886" s="8" t="s">
        <v>1331</v>
      </c>
      <c r="C886" s="13" t="s">
        <v>1332</v>
      </c>
      <c r="D886" s="10">
        <v>699.0</v>
      </c>
      <c r="E886" s="11">
        <f t="shared" si="83"/>
        <v>559.2</v>
      </c>
      <c r="F886" s="7" t="s">
        <v>13</v>
      </c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 t="s">
        <v>1333</v>
      </c>
      <c r="B887" s="8" t="s">
        <v>1334</v>
      </c>
      <c r="C887" s="13" t="s">
        <v>1335</v>
      </c>
      <c r="D887" s="10">
        <v>149.0</v>
      </c>
      <c r="E887" s="11">
        <f t="shared" si="83"/>
        <v>119.2</v>
      </c>
      <c r="F887" s="7" t="s">
        <v>13</v>
      </c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E888" s="40"/>
      <c r="F888" s="41"/>
    </row>
    <row r="889" ht="15.75" customHeight="1">
      <c r="E889" s="40"/>
      <c r="F889" s="41"/>
    </row>
    <row r="890" ht="15.75" customHeight="1">
      <c r="E890" s="40"/>
      <c r="F890" s="41"/>
    </row>
    <row r="891" ht="15.75" customHeight="1">
      <c r="E891" s="40"/>
      <c r="F891" s="41"/>
    </row>
    <row r="892" ht="15.75" customHeight="1">
      <c r="E892" s="40"/>
      <c r="F892" s="41"/>
    </row>
    <row r="893" ht="15.75" customHeight="1">
      <c r="E893" s="40"/>
      <c r="F893" s="41"/>
    </row>
    <row r="894" ht="15.75" customHeight="1">
      <c r="E894" s="40"/>
      <c r="F894" s="41"/>
    </row>
    <row r="895" ht="15.75" customHeight="1">
      <c r="E895" s="40"/>
      <c r="F895" s="41"/>
    </row>
    <row r="896" ht="15.75" customHeight="1">
      <c r="E896" s="40"/>
      <c r="F896" s="41"/>
    </row>
    <row r="897" ht="15.75" customHeight="1">
      <c r="E897" s="40"/>
      <c r="F897" s="41"/>
    </row>
    <row r="898" ht="15.75" customHeight="1">
      <c r="E898" s="40"/>
      <c r="F898" s="41"/>
    </row>
    <row r="899" ht="15.75" customHeight="1">
      <c r="E899" s="40"/>
      <c r="F899" s="41"/>
    </row>
    <row r="900" ht="15.75" customHeight="1">
      <c r="E900" s="40"/>
      <c r="F900" s="41"/>
    </row>
    <row r="901" ht="15.75" customHeight="1">
      <c r="E901" s="40"/>
      <c r="F901" s="41"/>
    </row>
    <row r="902" ht="15.75" customHeight="1">
      <c r="E902" s="40"/>
      <c r="F902" s="41"/>
    </row>
    <row r="903" ht="15.75" customHeight="1">
      <c r="E903" s="40"/>
      <c r="F903" s="41"/>
    </row>
    <row r="904" ht="15.75" customHeight="1">
      <c r="E904" s="40"/>
      <c r="F904" s="41"/>
    </row>
    <row r="905" ht="15.75" customHeight="1">
      <c r="E905" s="40"/>
      <c r="F905" s="41"/>
    </row>
    <row r="906" ht="15.75" customHeight="1">
      <c r="E906" s="40"/>
      <c r="F906" s="41"/>
    </row>
    <row r="907" ht="15.75" customHeight="1">
      <c r="E907" s="40"/>
      <c r="F907" s="41"/>
    </row>
    <row r="908" ht="15.75" customHeight="1">
      <c r="E908" s="40"/>
      <c r="F908" s="41"/>
    </row>
    <row r="909" ht="15.75" customHeight="1">
      <c r="E909" s="40"/>
      <c r="F909" s="41"/>
    </row>
    <row r="910" ht="15.75" customHeight="1">
      <c r="E910" s="40"/>
      <c r="F910" s="41"/>
    </row>
    <row r="911" ht="15.75" customHeight="1">
      <c r="E911" s="40"/>
      <c r="F911" s="41"/>
    </row>
    <row r="912" ht="15.75" customHeight="1">
      <c r="E912" s="40"/>
      <c r="F912" s="41"/>
    </row>
    <row r="913" ht="15.75" customHeight="1">
      <c r="E913" s="40"/>
      <c r="F913" s="41"/>
    </row>
    <row r="914" ht="15.75" customHeight="1">
      <c r="E914" s="40"/>
      <c r="F914" s="41"/>
    </row>
    <row r="915" ht="15.75" customHeight="1">
      <c r="E915" s="40"/>
      <c r="F915" s="41"/>
    </row>
    <row r="916" ht="15.75" customHeight="1">
      <c r="E916" s="40"/>
      <c r="F916" s="41"/>
    </row>
    <row r="917" ht="15.75" customHeight="1">
      <c r="E917" s="40"/>
      <c r="F917" s="41"/>
    </row>
    <row r="918" ht="15.75" customHeight="1">
      <c r="E918" s="40"/>
      <c r="F918" s="41"/>
    </row>
    <row r="919" ht="15.75" customHeight="1">
      <c r="E919" s="40"/>
      <c r="F919" s="41"/>
    </row>
    <row r="920" ht="15.75" customHeight="1">
      <c r="E920" s="40"/>
      <c r="F920" s="41"/>
    </row>
    <row r="921" ht="15.75" customHeight="1">
      <c r="E921" s="40"/>
      <c r="F921" s="41"/>
    </row>
    <row r="922" ht="15.75" customHeight="1">
      <c r="E922" s="40"/>
      <c r="F922" s="41"/>
    </row>
    <row r="923" ht="15.75" customHeight="1">
      <c r="E923" s="40"/>
      <c r="F923" s="41"/>
    </row>
    <row r="924" ht="15.75" customHeight="1">
      <c r="E924" s="40"/>
      <c r="F924" s="41"/>
    </row>
    <row r="925" ht="15.75" customHeight="1">
      <c r="E925" s="40"/>
      <c r="F925" s="41"/>
    </row>
    <row r="926" ht="15.75" customHeight="1">
      <c r="E926" s="40"/>
      <c r="F926" s="41"/>
    </row>
    <row r="927" ht="15.75" customHeight="1">
      <c r="E927" s="40"/>
      <c r="F927" s="41"/>
    </row>
    <row r="928" ht="15.75" customHeight="1">
      <c r="E928" s="40"/>
      <c r="F928" s="41"/>
    </row>
    <row r="929" ht="15.75" customHeight="1">
      <c r="E929" s="40"/>
      <c r="F929" s="41"/>
    </row>
    <row r="930" ht="15.75" customHeight="1">
      <c r="E930" s="40"/>
      <c r="F930" s="41"/>
    </row>
    <row r="931" ht="15.75" customHeight="1">
      <c r="E931" s="40"/>
      <c r="F931" s="41"/>
    </row>
    <row r="932" ht="15.75" customHeight="1">
      <c r="E932" s="40"/>
      <c r="F932" s="41"/>
    </row>
    <row r="933" ht="15.75" customHeight="1">
      <c r="E933" s="40"/>
      <c r="F933" s="41"/>
    </row>
    <row r="934" ht="15.75" customHeight="1">
      <c r="E934" s="40"/>
      <c r="F934" s="41"/>
    </row>
    <row r="935" ht="15.75" customHeight="1">
      <c r="E935" s="40"/>
      <c r="F935" s="41"/>
    </row>
    <row r="936" ht="15.75" customHeight="1">
      <c r="E936" s="40"/>
      <c r="F936" s="41"/>
    </row>
    <row r="937" ht="15.75" customHeight="1">
      <c r="E937" s="40"/>
      <c r="F937" s="41"/>
    </row>
    <row r="938" ht="15.75" customHeight="1">
      <c r="E938" s="40"/>
      <c r="F938" s="41"/>
    </row>
    <row r="939" ht="15.75" customHeight="1">
      <c r="E939" s="40"/>
      <c r="F939" s="41"/>
    </row>
    <row r="940" ht="15.75" customHeight="1">
      <c r="E940" s="40"/>
      <c r="F940" s="41"/>
    </row>
    <row r="941" ht="15.75" customHeight="1">
      <c r="E941" s="40"/>
      <c r="F941" s="41"/>
    </row>
    <row r="942" ht="15.75" customHeight="1">
      <c r="E942" s="40"/>
      <c r="F942" s="41"/>
    </row>
    <row r="943" ht="15.75" customHeight="1">
      <c r="E943" s="40"/>
      <c r="F943" s="41"/>
    </row>
    <row r="944" ht="15.75" customHeight="1">
      <c r="E944" s="40"/>
      <c r="F944" s="41"/>
    </row>
    <row r="945" ht="15.75" customHeight="1">
      <c r="E945" s="40"/>
      <c r="F945" s="41"/>
    </row>
    <row r="946" ht="15.75" customHeight="1">
      <c r="E946" s="40"/>
      <c r="F946" s="41"/>
    </row>
    <row r="947" ht="15.75" customHeight="1">
      <c r="E947" s="40"/>
      <c r="F947" s="41"/>
    </row>
    <row r="948" ht="15.75" customHeight="1">
      <c r="E948" s="40"/>
      <c r="F948" s="41"/>
    </row>
    <row r="949" ht="15.75" customHeight="1">
      <c r="E949" s="40"/>
      <c r="F949" s="41"/>
    </row>
    <row r="950" ht="15.75" customHeight="1">
      <c r="E950" s="40"/>
      <c r="F950" s="41"/>
    </row>
    <row r="951" ht="15.75" customHeight="1">
      <c r="E951" s="40"/>
      <c r="F951" s="41"/>
    </row>
    <row r="952" ht="15.75" customHeight="1">
      <c r="E952" s="40"/>
      <c r="F952" s="41"/>
    </row>
    <row r="953" ht="15.75" customHeight="1">
      <c r="E953" s="40"/>
      <c r="F953" s="41"/>
    </row>
    <row r="954" ht="15.75" customHeight="1">
      <c r="E954" s="40"/>
      <c r="F954" s="41"/>
    </row>
    <row r="955" ht="15.75" customHeight="1">
      <c r="E955" s="40"/>
      <c r="F955" s="41"/>
    </row>
    <row r="956" ht="15.75" customHeight="1">
      <c r="E956" s="40"/>
      <c r="F956" s="41"/>
    </row>
    <row r="957" ht="15.75" customHeight="1">
      <c r="E957" s="40"/>
      <c r="F957" s="41"/>
    </row>
    <row r="958" ht="15.75" customHeight="1">
      <c r="E958" s="40"/>
      <c r="F958" s="41"/>
    </row>
    <row r="959" ht="15.75" customHeight="1">
      <c r="E959" s="40"/>
      <c r="F959" s="41"/>
    </row>
    <row r="960" ht="15.75" customHeight="1">
      <c r="E960" s="40"/>
      <c r="F960" s="41"/>
    </row>
    <row r="961" ht="15.75" customHeight="1">
      <c r="E961" s="40"/>
      <c r="F961" s="41"/>
    </row>
    <row r="962" ht="15.75" customHeight="1">
      <c r="E962" s="40"/>
      <c r="F962" s="41"/>
    </row>
    <row r="963" ht="15.75" customHeight="1">
      <c r="E963" s="40"/>
      <c r="F963" s="41"/>
    </row>
    <row r="964" ht="15.75" customHeight="1">
      <c r="E964" s="40"/>
      <c r="F964" s="41"/>
    </row>
    <row r="965" ht="15.75" customHeight="1">
      <c r="E965" s="40"/>
      <c r="F965" s="41"/>
    </row>
    <row r="966" ht="15.75" customHeight="1">
      <c r="E966" s="40"/>
      <c r="F966" s="41"/>
    </row>
    <row r="967" ht="15.75" customHeight="1">
      <c r="E967" s="40"/>
      <c r="F967" s="41"/>
    </row>
    <row r="968" ht="15.75" customHeight="1">
      <c r="E968" s="40"/>
      <c r="F968" s="41"/>
    </row>
    <row r="969" ht="15.75" customHeight="1">
      <c r="E969" s="40"/>
      <c r="F969" s="41"/>
    </row>
    <row r="970" ht="15.75" customHeight="1">
      <c r="E970" s="40"/>
      <c r="F970" s="41"/>
    </row>
    <row r="971" ht="15.75" customHeight="1">
      <c r="E971" s="40"/>
      <c r="F971" s="41"/>
    </row>
    <row r="972" ht="15.75" customHeight="1">
      <c r="E972" s="40"/>
      <c r="F972" s="41"/>
    </row>
    <row r="973" ht="15.75" customHeight="1">
      <c r="E973" s="40"/>
      <c r="F973" s="41"/>
    </row>
    <row r="974" ht="15.75" customHeight="1">
      <c r="E974" s="40"/>
      <c r="F974" s="41"/>
    </row>
    <row r="975" ht="15.75" customHeight="1">
      <c r="E975" s="40"/>
      <c r="F975" s="41"/>
    </row>
    <row r="976" ht="15.75" customHeight="1">
      <c r="E976" s="40"/>
      <c r="F976" s="41"/>
    </row>
    <row r="977" ht="15.75" customHeight="1">
      <c r="E977" s="40"/>
      <c r="F977" s="41"/>
    </row>
    <row r="978" ht="15.75" customHeight="1">
      <c r="E978" s="40"/>
      <c r="F978" s="41"/>
    </row>
    <row r="979" ht="15.75" customHeight="1">
      <c r="E979" s="40"/>
      <c r="F979" s="41"/>
    </row>
    <row r="980" ht="15.75" customHeight="1">
      <c r="E980" s="40"/>
      <c r="F980" s="41"/>
    </row>
    <row r="981" ht="15.75" customHeight="1">
      <c r="E981" s="40"/>
      <c r="F981" s="41"/>
    </row>
    <row r="982" ht="15.75" customHeight="1">
      <c r="E982" s="40"/>
      <c r="F982" s="41"/>
    </row>
    <row r="983" ht="15.75" customHeight="1">
      <c r="E983" s="40"/>
      <c r="F983" s="41"/>
    </row>
    <row r="984" ht="15.75" customHeight="1">
      <c r="E984" s="40"/>
      <c r="F984" s="41"/>
    </row>
    <row r="985" ht="15.75" customHeight="1">
      <c r="E985" s="40"/>
      <c r="F985" s="41"/>
    </row>
    <row r="986" ht="15.75" customHeight="1">
      <c r="E986" s="40"/>
      <c r="F986" s="41"/>
    </row>
    <row r="987" ht="15.75" customHeight="1">
      <c r="E987" s="40"/>
      <c r="F987" s="41"/>
    </row>
    <row r="988" ht="15.75" customHeight="1">
      <c r="E988" s="40"/>
      <c r="F988" s="41"/>
    </row>
    <row r="989" ht="15.75" customHeight="1">
      <c r="E989" s="40"/>
      <c r="F989" s="41"/>
    </row>
    <row r="990" ht="15.75" customHeight="1">
      <c r="E990" s="40"/>
      <c r="F990" s="41"/>
    </row>
    <row r="991" ht="15.75" customHeight="1">
      <c r="E991" s="40"/>
      <c r="F991" s="41"/>
    </row>
    <row r="992" ht="15.75" customHeight="1">
      <c r="E992" s="40"/>
      <c r="F992" s="41"/>
    </row>
    <row r="993" ht="15.75" customHeight="1">
      <c r="E993" s="40"/>
      <c r="F993" s="41"/>
    </row>
    <row r="994" ht="15.75" customHeight="1">
      <c r="E994" s="40"/>
      <c r="F994" s="41"/>
    </row>
    <row r="995" ht="15.75" customHeight="1">
      <c r="E995" s="40"/>
      <c r="F995" s="41"/>
    </row>
    <row r="996" ht="15.75" customHeight="1">
      <c r="E996" s="40"/>
      <c r="F996" s="41"/>
    </row>
    <row r="997" ht="15.75" customHeight="1">
      <c r="E997" s="40"/>
      <c r="F997" s="41"/>
    </row>
    <row r="998" ht="15.75" customHeight="1">
      <c r="E998" s="40"/>
      <c r="F998" s="41"/>
    </row>
    <row r="999" ht="15.75" customHeight="1">
      <c r="E999" s="40"/>
      <c r="F999" s="41"/>
    </row>
    <row r="1000" ht="15.75" customHeight="1">
      <c r="E1000" s="40"/>
      <c r="F1000" s="4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71"/>
    <col customWidth="1" min="3" max="3" width="35.0"/>
    <col customWidth="1" min="4" max="4" width="22.86"/>
    <col customWidth="1" min="5" max="5" width="34.86"/>
    <col customWidth="1" min="6" max="6" width="27.43"/>
    <col customWidth="1" min="7" max="7" width="16.14"/>
    <col customWidth="1" min="8" max="8" width="28.14"/>
    <col customWidth="1" min="9" max="26" width="8.71"/>
  </cols>
  <sheetData>
    <row r="1">
      <c r="A1" s="4" t="s">
        <v>1336</v>
      </c>
      <c r="B1" s="5"/>
      <c r="C1" s="5"/>
      <c r="D1" s="5"/>
      <c r="E1" s="5"/>
      <c r="F1" s="5"/>
      <c r="G1" s="5"/>
      <c r="H1" s="5"/>
    </row>
    <row r="2">
      <c r="A2" s="1" t="s">
        <v>1337</v>
      </c>
      <c r="B2" s="2" t="s">
        <v>1338</v>
      </c>
      <c r="C2" s="2" t="s">
        <v>1339</v>
      </c>
      <c r="D2" s="2" t="s">
        <v>1340</v>
      </c>
      <c r="E2" s="2" t="s">
        <v>1341</v>
      </c>
      <c r="F2" s="2" t="s">
        <v>1342</v>
      </c>
      <c r="G2" s="2" t="s">
        <v>1343</v>
      </c>
      <c r="H2" s="2"/>
    </row>
    <row r="3">
      <c r="A3" s="9"/>
      <c r="B3" s="9" t="s">
        <v>1344</v>
      </c>
      <c r="C3" s="9" t="s">
        <v>1345</v>
      </c>
      <c r="D3" s="10">
        <v>12.5</v>
      </c>
      <c r="E3" s="10">
        <v>9.0</v>
      </c>
      <c r="F3" s="10">
        <v>23.99</v>
      </c>
      <c r="G3" s="84">
        <v>12.0</v>
      </c>
      <c r="H3" s="85"/>
    </row>
    <row r="4">
      <c r="A4" s="9"/>
      <c r="B4" s="9" t="s">
        <v>1344</v>
      </c>
      <c r="C4" s="9" t="s">
        <v>1346</v>
      </c>
      <c r="D4" s="10">
        <v>30.0</v>
      </c>
      <c r="E4" s="10">
        <v>9.0</v>
      </c>
      <c r="F4" s="10">
        <v>51.99</v>
      </c>
      <c r="G4" s="84">
        <v>12.0</v>
      </c>
      <c r="H4" s="85"/>
    </row>
    <row r="5">
      <c r="A5" s="9"/>
      <c r="B5" s="9" t="s">
        <v>1344</v>
      </c>
      <c r="C5" s="9" t="s">
        <v>1347</v>
      </c>
      <c r="D5" s="10">
        <v>70.0</v>
      </c>
      <c r="E5" s="10">
        <v>9.0</v>
      </c>
      <c r="F5" s="10">
        <v>99.99</v>
      </c>
      <c r="G5" s="84">
        <v>12.0</v>
      </c>
      <c r="H5" s="85"/>
    </row>
    <row r="6">
      <c r="A6" s="9" t="s">
        <v>1348</v>
      </c>
      <c r="B6" s="9" t="s">
        <v>1349</v>
      </c>
      <c r="C6" s="9" t="s">
        <v>1345</v>
      </c>
      <c r="D6" s="10">
        <v>12.5</v>
      </c>
      <c r="E6" s="10">
        <v>9.0</v>
      </c>
      <c r="F6" s="10">
        <v>23.99</v>
      </c>
      <c r="G6" s="84">
        <v>12.0</v>
      </c>
      <c r="H6" s="85"/>
    </row>
    <row r="7">
      <c r="A7" s="9" t="s">
        <v>1348</v>
      </c>
      <c r="B7" s="9" t="s">
        <v>1349</v>
      </c>
      <c r="C7" s="9" t="s">
        <v>1346</v>
      </c>
      <c r="D7" s="10">
        <v>30.0</v>
      </c>
      <c r="E7" s="10">
        <v>9.0</v>
      </c>
      <c r="F7" s="10">
        <v>51.99</v>
      </c>
      <c r="G7" s="84">
        <v>12.0</v>
      </c>
      <c r="H7" s="85"/>
    </row>
    <row r="8">
      <c r="A8" s="9" t="s">
        <v>1348</v>
      </c>
      <c r="B8" s="9" t="s">
        <v>1349</v>
      </c>
      <c r="C8" s="9" t="s">
        <v>1347</v>
      </c>
      <c r="D8" s="10">
        <v>70.0</v>
      </c>
      <c r="E8" s="10">
        <v>9.0</v>
      </c>
      <c r="F8" s="10">
        <v>99.99</v>
      </c>
      <c r="G8" s="84">
        <v>12.0</v>
      </c>
      <c r="H8" s="85"/>
    </row>
    <row r="9">
      <c r="A9" s="9" t="s">
        <v>1350</v>
      </c>
      <c r="B9" s="9" t="s">
        <v>1351</v>
      </c>
      <c r="C9" s="9" t="s">
        <v>1345</v>
      </c>
      <c r="D9" s="10">
        <v>10.0</v>
      </c>
      <c r="E9" s="10">
        <v>8.0</v>
      </c>
      <c r="F9" s="10">
        <v>19.99</v>
      </c>
      <c r="G9" s="84">
        <v>11.0</v>
      </c>
      <c r="H9" s="85"/>
    </row>
    <row r="10">
      <c r="A10" s="9" t="s">
        <v>1350</v>
      </c>
      <c r="B10" s="9" t="s">
        <v>1351</v>
      </c>
      <c r="C10" s="13" t="s">
        <v>1346</v>
      </c>
      <c r="D10" s="10">
        <v>10.0</v>
      </c>
      <c r="E10" s="10">
        <v>8.0</v>
      </c>
      <c r="F10" s="10">
        <v>35.9</v>
      </c>
      <c r="G10" s="84">
        <v>11.0</v>
      </c>
      <c r="H10" s="85"/>
    </row>
    <row r="11">
      <c r="A11" s="9" t="s">
        <v>1350</v>
      </c>
      <c r="B11" s="9" t="s">
        <v>1351</v>
      </c>
      <c r="C11" s="13" t="s">
        <v>1347</v>
      </c>
      <c r="D11" s="10">
        <v>65.0</v>
      </c>
      <c r="E11" s="10">
        <v>8.0</v>
      </c>
      <c r="F11" s="10">
        <v>89.99</v>
      </c>
      <c r="G11" s="84">
        <v>11.0</v>
      </c>
      <c r="H11" s="85"/>
    </row>
    <row r="12">
      <c r="A12" s="9" t="s">
        <v>1352</v>
      </c>
      <c r="B12" s="9" t="s">
        <v>1353</v>
      </c>
      <c r="C12" s="13" t="s">
        <v>1345</v>
      </c>
      <c r="D12" s="10">
        <v>10.0</v>
      </c>
      <c r="E12" s="10">
        <v>7.0</v>
      </c>
      <c r="F12" s="10">
        <v>19.99</v>
      </c>
      <c r="G12" s="84">
        <v>10.0</v>
      </c>
      <c r="H12" s="85"/>
    </row>
    <row r="13">
      <c r="A13" s="9" t="s">
        <v>1352</v>
      </c>
      <c r="B13" s="9" t="s">
        <v>1353</v>
      </c>
      <c r="C13" s="9" t="s">
        <v>1354</v>
      </c>
      <c r="D13" s="10">
        <v>12.5</v>
      </c>
      <c r="E13" s="10">
        <v>7.0</v>
      </c>
      <c r="F13" s="10">
        <v>23.99</v>
      </c>
      <c r="G13" s="84">
        <v>10.0</v>
      </c>
      <c r="H13" s="85"/>
    </row>
    <row r="14">
      <c r="A14" s="9" t="s">
        <v>1352</v>
      </c>
      <c r="B14" s="9" t="s">
        <v>1353</v>
      </c>
      <c r="C14" s="9" t="s">
        <v>1346</v>
      </c>
      <c r="D14" s="10">
        <v>17.5</v>
      </c>
      <c r="E14" s="10">
        <v>7.0</v>
      </c>
      <c r="F14" s="10">
        <v>32.99</v>
      </c>
      <c r="G14" s="84">
        <v>10.0</v>
      </c>
      <c r="H14" s="85"/>
    </row>
    <row r="15">
      <c r="A15" s="9" t="s">
        <v>1352</v>
      </c>
      <c r="B15" s="9" t="s">
        <v>1353</v>
      </c>
      <c r="C15" s="9" t="s">
        <v>1347</v>
      </c>
      <c r="D15" s="10">
        <v>50.0</v>
      </c>
      <c r="E15" s="10">
        <v>7.0</v>
      </c>
      <c r="F15" s="10">
        <v>79.99</v>
      </c>
      <c r="G15" s="84">
        <v>10.0</v>
      </c>
      <c r="H15" s="85"/>
    </row>
    <row r="16">
      <c r="A16" s="4" t="s">
        <v>1355</v>
      </c>
      <c r="B16" s="4"/>
      <c r="C16" s="4"/>
      <c r="D16" s="4"/>
      <c r="E16" s="4"/>
      <c r="F16" s="4"/>
      <c r="G16" s="4"/>
      <c r="H16" s="5"/>
    </row>
    <row r="17">
      <c r="A17" s="86" t="s">
        <v>1338</v>
      </c>
      <c r="B17" s="86" t="s">
        <v>1356</v>
      </c>
      <c r="C17" s="86" t="s">
        <v>1357</v>
      </c>
      <c r="D17" s="86" t="s">
        <v>1339</v>
      </c>
      <c r="E17" s="86" t="s">
        <v>1358</v>
      </c>
      <c r="F17" s="86" t="s">
        <v>1340</v>
      </c>
      <c r="G17" s="87" t="s">
        <v>1359</v>
      </c>
      <c r="H17" s="85"/>
    </row>
    <row r="18">
      <c r="A18" s="9" t="s">
        <v>1360</v>
      </c>
      <c r="B18" s="9" t="s">
        <v>1361</v>
      </c>
      <c r="C18" s="10" t="s">
        <v>1362</v>
      </c>
      <c r="D18" s="10" t="s">
        <v>1363</v>
      </c>
      <c r="E18" s="10" t="s">
        <v>1364</v>
      </c>
      <c r="F18" s="10">
        <v>90.0</v>
      </c>
      <c r="G18" s="84">
        <v>108.0</v>
      </c>
      <c r="H18" s="85"/>
    </row>
    <row r="19">
      <c r="A19" s="9" t="s">
        <v>1360</v>
      </c>
      <c r="B19" s="9" t="s">
        <v>1365</v>
      </c>
      <c r="C19" s="10" t="s">
        <v>1366</v>
      </c>
      <c r="D19" s="10" t="s">
        <v>1367</v>
      </c>
      <c r="E19" s="10" t="s">
        <v>1364</v>
      </c>
      <c r="F19" s="10">
        <v>100.0</v>
      </c>
      <c r="G19" s="84">
        <v>120.0</v>
      </c>
      <c r="H19" s="85"/>
    </row>
    <row r="20">
      <c r="A20" s="9" t="s">
        <v>1360</v>
      </c>
      <c r="B20" s="9" t="s">
        <v>1368</v>
      </c>
      <c r="C20" s="10" t="s">
        <v>1369</v>
      </c>
      <c r="D20" s="10" t="s">
        <v>1370</v>
      </c>
      <c r="E20" s="10" t="s">
        <v>1364</v>
      </c>
      <c r="F20" s="10">
        <v>125.0</v>
      </c>
      <c r="G20" s="84">
        <v>150.0</v>
      </c>
      <c r="H20" s="85"/>
    </row>
    <row r="21" ht="15.75" customHeight="1">
      <c r="A21" s="4" t="s">
        <v>1371</v>
      </c>
      <c r="B21" s="4"/>
      <c r="C21" s="4"/>
      <c r="D21" s="4"/>
      <c r="E21" s="4"/>
      <c r="F21" s="4"/>
      <c r="G21" s="88"/>
      <c r="H21" s="85"/>
    </row>
    <row r="22" ht="15.75" customHeight="1">
      <c r="A22" s="86" t="s">
        <v>1338</v>
      </c>
      <c r="B22" s="86" t="s">
        <v>1356</v>
      </c>
      <c r="C22" s="86" t="s">
        <v>1357</v>
      </c>
      <c r="D22" s="86" t="s">
        <v>1339</v>
      </c>
      <c r="E22" s="86" t="s">
        <v>1358</v>
      </c>
      <c r="F22" s="86" t="s">
        <v>1340</v>
      </c>
      <c r="G22" s="87" t="s">
        <v>1359</v>
      </c>
      <c r="H22" s="85"/>
    </row>
    <row r="23" ht="15.75" customHeight="1">
      <c r="A23" s="9" t="s">
        <v>1360</v>
      </c>
      <c r="B23" s="9" t="s">
        <v>1372</v>
      </c>
      <c r="C23" s="10" t="s">
        <v>1373</v>
      </c>
      <c r="D23" s="10" t="s">
        <v>1374</v>
      </c>
      <c r="E23" s="10" t="s">
        <v>1375</v>
      </c>
      <c r="F23" s="10">
        <v>59.0</v>
      </c>
      <c r="G23" s="84">
        <v>69.0</v>
      </c>
      <c r="H23" s="85"/>
    </row>
    <row r="24" ht="15.75" customHeight="1">
      <c r="A24" s="9" t="s">
        <v>1360</v>
      </c>
      <c r="B24" s="9" t="s">
        <v>1372</v>
      </c>
      <c r="C24" s="10" t="s">
        <v>1376</v>
      </c>
      <c r="D24" s="10" t="s">
        <v>1377</v>
      </c>
      <c r="E24" s="10" t="s">
        <v>1375</v>
      </c>
      <c r="F24" s="10">
        <v>109.0</v>
      </c>
      <c r="G24" s="84">
        <v>119.0</v>
      </c>
      <c r="H24" s="85"/>
    </row>
    <row r="25" ht="15.75" customHeight="1">
      <c r="A25" s="9" t="s">
        <v>1360</v>
      </c>
      <c r="B25" s="9" t="s">
        <v>1378</v>
      </c>
      <c r="C25" s="10" t="s">
        <v>1379</v>
      </c>
      <c r="D25" s="10" t="s">
        <v>1380</v>
      </c>
      <c r="E25" s="10" t="s">
        <v>1381</v>
      </c>
      <c r="F25" s="10">
        <v>79.0</v>
      </c>
      <c r="G25" s="84">
        <v>89.0</v>
      </c>
      <c r="H25" s="85"/>
    </row>
    <row r="26" ht="15.75" customHeight="1">
      <c r="A26" s="9" t="s">
        <v>1360</v>
      </c>
      <c r="B26" s="9" t="s">
        <v>1382</v>
      </c>
      <c r="C26" s="10" t="s">
        <v>1383</v>
      </c>
      <c r="D26" s="10" t="s">
        <v>1380</v>
      </c>
      <c r="E26" s="10" t="s">
        <v>1381</v>
      </c>
      <c r="F26" s="10">
        <v>109.0</v>
      </c>
      <c r="G26" s="84">
        <v>119.0</v>
      </c>
      <c r="H26" s="85"/>
    </row>
    <row r="27" ht="15.75" customHeight="1">
      <c r="A27" s="4" t="s">
        <v>1384</v>
      </c>
      <c r="B27" s="4"/>
      <c r="C27" s="4"/>
      <c r="D27" s="4"/>
      <c r="E27" s="4"/>
      <c r="F27" s="4"/>
      <c r="G27" s="89"/>
      <c r="H27" s="85"/>
    </row>
    <row r="28" ht="15.75" customHeight="1">
      <c r="A28" s="86" t="s">
        <v>1338</v>
      </c>
      <c r="B28" s="86" t="s">
        <v>1356</v>
      </c>
      <c r="C28" s="86" t="s">
        <v>1357</v>
      </c>
      <c r="D28" s="86" t="s">
        <v>1339</v>
      </c>
      <c r="E28" s="86" t="s">
        <v>1358</v>
      </c>
      <c r="F28" s="86" t="s">
        <v>1340</v>
      </c>
      <c r="G28" s="87" t="s">
        <v>1359</v>
      </c>
      <c r="H28" s="85"/>
    </row>
    <row r="29" ht="15.75" customHeight="1">
      <c r="A29" s="9" t="s">
        <v>1360</v>
      </c>
      <c r="B29" s="9" t="s">
        <v>1385</v>
      </c>
      <c r="C29" s="10" t="s">
        <v>1386</v>
      </c>
      <c r="D29" s="10" t="s">
        <v>1380</v>
      </c>
      <c r="E29" s="10" t="s">
        <v>1364</v>
      </c>
      <c r="F29" s="10">
        <v>125.0</v>
      </c>
      <c r="G29" s="84">
        <v>150.0</v>
      </c>
      <c r="H29" s="85"/>
    </row>
    <row r="30" ht="15.75" customHeight="1">
      <c r="A30" s="90" t="s">
        <v>1387</v>
      </c>
      <c r="B30" s="91"/>
      <c r="C30" s="92"/>
      <c r="D30" s="4"/>
      <c r="E30" s="93"/>
      <c r="F30" s="94"/>
      <c r="G30" s="94"/>
      <c r="H30" s="95"/>
    </row>
    <row r="31" ht="15.75" customHeight="1">
      <c r="A31" s="1" t="s">
        <v>1388</v>
      </c>
      <c r="B31" s="2" t="s">
        <v>1338</v>
      </c>
      <c r="C31" s="2" t="s">
        <v>1356</v>
      </c>
      <c r="D31" s="2" t="s">
        <v>1339</v>
      </c>
      <c r="E31" s="2" t="s">
        <v>1340</v>
      </c>
      <c r="F31" s="2" t="s">
        <v>1359</v>
      </c>
      <c r="G31" s="2"/>
      <c r="H31" s="2"/>
    </row>
    <row r="32" ht="21.75" customHeight="1">
      <c r="A32" s="9" t="s">
        <v>1389</v>
      </c>
      <c r="B32" s="9" t="s">
        <v>1360</v>
      </c>
      <c r="C32" s="9" t="s">
        <v>1390</v>
      </c>
      <c r="D32" s="10" t="s">
        <v>1391</v>
      </c>
      <c r="E32" s="10">
        <v>12.0</v>
      </c>
      <c r="F32" s="84">
        <v>20.0</v>
      </c>
      <c r="G32" s="96"/>
      <c r="H32" s="85"/>
    </row>
    <row r="33" ht="15.75" customHeight="1">
      <c r="A33" s="9" t="s">
        <v>1392</v>
      </c>
      <c r="B33" s="9" t="s">
        <v>1360</v>
      </c>
      <c r="C33" s="9" t="s">
        <v>1393</v>
      </c>
      <c r="D33" s="10" t="s">
        <v>1345</v>
      </c>
      <c r="E33" s="10">
        <v>20.0</v>
      </c>
      <c r="F33" s="84">
        <v>30.0</v>
      </c>
      <c r="G33" s="96"/>
      <c r="H33" s="85"/>
    </row>
    <row r="34" ht="15.75" customHeight="1">
      <c r="A34" s="97" t="s">
        <v>1394</v>
      </c>
      <c r="B34" s="96"/>
      <c r="C34" s="96"/>
      <c r="D34" s="96"/>
      <c r="E34" s="96"/>
      <c r="F34" s="96"/>
      <c r="G34" s="96"/>
      <c r="H34" s="85"/>
    </row>
    <row r="35" ht="15.75" customHeight="1">
      <c r="A35" s="97" t="s">
        <v>1395</v>
      </c>
      <c r="B35" s="96"/>
      <c r="C35" s="96"/>
      <c r="D35" s="96"/>
      <c r="E35" s="96"/>
      <c r="F35" s="96"/>
      <c r="G35" s="96"/>
      <c r="H35" s="85"/>
    </row>
    <row r="36" ht="15.75" customHeight="1">
      <c r="A36" s="97" t="s">
        <v>1396</v>
      </c>
      <c r="B36" s="96"/>
      <c r="C36" s="96"/>
      <c r="D36" s="96"/>
      <c r="E36" s="96"/>
      <c r="F36" s="96"/>
      <c r="G36" s="96"/>
      <c r="H36" s="85"/>
    </row>
    <row r="37" ht="15.75" customHeight="1">
      <c r="A37" s="97" t="s">
        <v>1397</v>
      </c>
      <c r="B37" s="96"/>
      <c r="C37" s="96"/>
      <c r="D37" s="96"/>
      <c r="E37" s="96"/>
      <c r="F37" s="96"/>
      <c r="G37" s="96"/>
      <c r="H37" s="85"/>
    </row>
    <row r="38" ht="15.75" customHeight="1">
      <c r="A38" s="98" t="s">
        <v>1398</v>
      </c>
      <c r="B38" s="96"/>
      <c r="C38" s="96"/>
      <c r="D38" s="96"/>
      <c r="E38" s="96"/>
      <c r="F38" s="96"/>
      <c r="G38" s="96"/>
      <c r="H38" s="85"/>
    </row>
    <row r="39" ht="15.75" customHeight="1">
      <c r="A39" s="99" t="s">
        <v>1399</v>
      </c>
      <c r="B39" s="96"/>
      <c r="C39" s="96"/>
      <c r="D39" s="96"/>
      <c r="E39" s="96"/>
      <c r="F39" s="96"/>
      <c r="G39" s="96"/>
      <c r="H39" s="85"/>
    </row>
    <row r="40" ht="30.0" customHeight="1">
      <c r="A40" s="100" t="s">
        <v>1400</v>
      </c>
      <c r="B40" s="96"/>
      <c r="C40" s="96"/>
      <c r="D40" s="96"/>
      <c r="E40" s="96"/>
      <c r="F40" s="96"/>
      <c r="G40" s="96"/>
      <c r="H40" s="85"/>
    </row>
    <row r="41" ht="15.75" customHeight="1">
      <c r="A41" s="100" t="s">
        <v>1401</v>
      </c>
      <c r="B41" s="96"/>
      <c r="C41" s="96"/>
      <c r="D41" s="96"/>
      <c r="E41" s="96"/>
      <c r="F41" s="96"/>
      <c r="G41" s="96"/>
      <c r="H41" s="85"/>
    </row>
    <row r="42" ht="15.75" customHeight="1">
      <c r="A42" s="98" t="s">
        <v>1402</v>
      </c>
      <c r="B42" s="96"/>
      <c r="C42" s="96"/>
      <c r="D42" s="96"/>
      <c r="E42" s="96"/>
      <c r="F42" s="96"/>
      <c r="G42" s="96"/>
      <c r="H42" s="8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A30:C30"/>
    <mergeCell ref="E30:H30"/>
    <mergeCell ref="A39:H39"/>
    <mergeCell ref="A40:H40"/>
    <mergeCell ref="A41:H41"/>
    <mergeCell ref="A42:H42"/>
    <mergeCell ref="F32:H32"/>
    <mergeCell ref="F33:H33"/>
    <mergeCell ref="A34:H34"/>
    <mergeCell ref="A35:H35"/>
    <mergeCell ref="A36:H36"/>
    <mergeCell ref="A37:H37"/>
    <mergeCell ref="A38:H3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38.57"/>
    <col customWidth="1" min="3" max="3" width="154.29"/>
    <col customWidth="1" min="4" max="4" width="49.14"/>
    <col customWidth="1" min="5" max="26" width="8.71"/>
  </cols>
  <sheetData>
    <row r="1">
      <c r="A1" s="1" t="s">
        <v>1403</v>
      </c>
      <c r="B1" s="2" t="s">
        <v>0</v>
      </c>
      <c r="C1" s="2" t="s">
        <v>1404</v>
      </c>
      <c r="D1" s="2" t="s">
        <v>1405</v>
      </c>
    </row>
    <row r="2">
      <c r="A2" s="101" t="s">
        <v>1406</v>
      </c>
      <c r="B2" s="94"/>
      <c r="C2" s="94"/>
      <c r="D2" s="95"/>
    </row>
    <row r="3">
      <c r="A3" s="102" t="s">
        <v>1407</v>
      </c>
      <c r="B3" s="102" t="s">
        <v>1408</v>
      </c>
      <c r="C3" s="102" t="s">
        <v>1409</v>
      </c>
      <c r="D3" s="103">
        <v>35.0</v>
      </c>
    </row>
    <row r="4">
      <c r="A4" s="104" t="s">
        <v>1410</v>
      </c>
      <c r="B4" s="94"/>
      <c r="C4" s="94"/>
      <c r="D4" s="95"/>
    </row>
    <row r="5">
      <c r="A5" s="105" t="s">
        <v>1411</v>
      </c>
      <c r="B5" s="106" t="s">
        <v>1412</v>
      </c>
      <c r="C5" s="105" t="s">
        <v>1413</v>
      </c>
      <c r="D5" s="107">
        <v>5.0</v>
      </c>
    </row>
    <row r="6">
      <c r="A6" s="105" t="s">
        <v>1414</v>
      </c>
      <c r="B6" s="108" t="s">
        <v>1415</v>
      </c>
      <c r="C6" s="105" t="s">
        <v>1416</v>
      </c>
      <c r="D6" s="107">
        <v>10.0</v>
      </c>
    </row>
    <row r="7">
      <c r="A7" s="105" t="s">
        <v>1417</v>
      </c>
      <c r="B7" s="108" t="s">
        <v>1418</v>
      </c>
      <c r="C7" s="105" t="s">
        <v>1419</v>
      </c>
      <c r="D7" s="107">
        <v>20.0</v>
      </c>
    </row>
    <row r="8">
      <c r="A8" s="104" t="s">
        <v>1420</v>
      </c>
      <c r="B8" s="94"/>
      <c r="C8" s="94"/>
      <c r="D8" s="95"/>
    </row>
    <row r="9">
      <c r="A9" s="109" t="s">
        <v>1421</v>
      </c>
      <c r="B9" s="102" t="s">
        <v>1422</v>
      </c>
      <c r="C9" s="102" t="s">
        <v>1416</v>
      </c>
      <c r="D9" s="103">
        <v>25.0</v>
      </c>
    </row>
    <row r="10">
      <c r="A10" s="109" t="s">
        <v>1423</v>
      </c>
      <c r="B10" s="102" t="s">
        <v>1424</v>
      </c>
      <c r="C10" s="102" t="s">
        <v>1419</v>
      </c>
      <c r="D10" s="103">
        <v>25.0</v>
      </c>
    </row>
    <row r="11">
      <c r="A11" s="109" t="s">
        <v>1425</v>
      </c>
      <c r="B11" s="102" t="s">
        <v>1426</v>
      </c>
      <c r="C11" s="102" t="s">
        <v>1427</v>
      </c>
      <c r="D11" s="103">
        <v>15.0</v>
      </c>
    </row>
    <row r="12">
      <c r="A12" s="102" t="s">
        <v>1428</v>
      </c>
      <c r="B12" s="102" t="s">
        <v>1429</v>
      </c>
      <c r="C12" s="102" t="s">
        <v>1430</v>
      </c>
      <c r="D12" s="103">
        <v>20.0</v>
      </c>
    </row>
    <row r="13">
      <c r="A13" s="102" t="s">
        <v>1431</v>
      </c>
      <c r="B13" s="102" t="s">
        <v>1432</v>
      </c>
      <c r="C13" s="102" t="s">
        <v>1433</v>
      </c>
      <c r="D13" s="103">
        <v>15.0</v>
      </c>
    </row>
    <row r="14">
      <c r="A14" s="109" t="s">
        <v>1434</v>
      </c>
      <c r="B14" s="102" t="s">
        <v>1435</v>
      </c>
      <c r="C14" s="102" t="s">
        <v>1413</v>
      </c>
      <c r="D14" s="103">
        <v>10.0</v>
      </c>
    </row>
    <row r="15">
      <c r="A15" s="110" t="s">
        <v>1436</v>
      </c>
      <c r="B15" s="94"/>
      <c r="C15" s="94"/>
      <c r="D15" s="95"/>
    </row>
    <row r="20">
      <c r="C20" s="1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D2"/>
    <mergeCell ref="A4:D4"/>
    <mergeCell ref="A8:D8"/>
    <mergeCell ref="A15:D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0.86"/>
    <col customWidth="1" min="3" max="3" width="84.86"/>
    <col customWidth="1" min="4" max="4" width="11.14"/>
    <col customWidth="1" min="5" max="5" width="12.43"/>
    <col customWidth="1" min="6" max="26" width="8.71"/>
  </cols>
  <sheetData>
    <row r="1">
      <c r="A1" s="112" t="s">
        <v>1437</v>
      </c>
      <c r="B1" s="113"/>
      <c r="C1" s="113"/>
      <c r="D1" s="114"/>
      <c r="E1" s="114"/>
      <c r="F1" s="115"/>
      <c r="G1" s="116"/>
      <c r="H1" s="116"/>
      <c r="I1" s="116"/>
    </row>
    <row r="2">
      <c r="A2" s="117" t="s">
        <v>1403</v>
      </c>
      <c r="B2" s="118" t="s">
        <v>1</v>
      </c>
      <c r="C2" s="118" t="s">
        <v>1438</v>
      </c>
      <c r="D2" s="119" t="s">
        <v>2</v>
      </c>
      <c r="E2" s="119" t="s">
        <v>3</v>
      </c>
    </row>
    <row r="3">
      <c r="A3" s="9" t="s">
        <v>1439</v>
      </c>
      <c r="B3" s="9" t="s">
        <v>256</v>
      </c>
      <c r="C3" s="9" t="s">
        <v>1440</v>
      </c>
      <c r="D3" s="120">
        <v>49.0</v>
      </c>
      <c r="E3" s="121">
        <f t="shared" ref="E3:E206" si="1">D3*0.8</f>
        <v>39.2</v>
      </c>
    </row>
    <row r="4">
      <c r="A4" s="9" t="s">
        <v>1441</v>
      </c>
      <c r="B4" s="9" t="s">
        <v>259</v>
      </c>
      <c r="C4" s="9" t="s">
        <v>1440</v>
      </c>
      <c r="D4" s="120">
        <v>79.0</v>
      </c>
      <c r="E4" s="121">
        <f t="shared" si="1"/>
        <v>63.2</v>
      </c>
    </row>
    <row r="5">
      <c r="A5" s="9" t="s">
        <v>826</v>
      </c>
      <c r="B5" s="9" t="s">
        <v>256</v>
      </c>
      <c r="C5" s="9" t="s">
        <v>1442</v>
      </c>
      <c r="D5" s="120">
        <v>49.0</v>
      </c>
      <c r="E5" s="121">
        <f t="shared" si="1"/>
        <v>39.2</v>
      </c>
    </row>
    <row r="6">
      <c r="A6" s="9" t="s">
        <v>828</v>
      </c>
      <c r="B6" s="9" t="s">
        <v>259</v>
      </c>
      <c r="C6" s="9" t="s">
        <v>1442</v>
      </c>
      <c r="D6" s="120">
        <v>79.0</v>
      </c>
      <c r="E6" s="121">
        <f t="shared" si="1"/>
        <v>63.2</v>
      </c>
    </row>
    <row r="7">
      <c r="A7" s="13" t="s">
        <v>829</v>
      </c>
      <c r="B7" s="13" t="s">
        <v>69</v>
      </c>
      <c r="C7" s="9" t="s">
        <v>1443</v>
      </c>
      <c r="D7" s="121">
        <v>69.0</v>
      </c>
      <c r="E7" s="121">
        <f t="shared" si="1"/>
        <v>55.2</v>
      </c>
    </row>
    <row r="8">
      <c r="A8" s="13" t="s">
        <v>831</v>
      </c>
      <c r="B8" s="13" t="s">
        <v>72</v>
      </c>
      <c r="C8" s="9" t="s">
        <v>1443</v>
      </c>
      <c r="D8" s="121">
        <v>118.0</v>
      </c>
      <c r="E8" s="121">
        <f t="shared" si="1"/>
        <v>94.4</v>
      </c>
    </row>
    <row r="9">
      <c r="A9" s="13" t="s">
        <v>832</v>
      </c>
      <c r="B9" s="13" t="s">
        <v>74</v>
      </c>
      <c r="C9" s="9" t="s">
        <v>1443</v>
      </c>
      <c r="D9" s="121">
        <v>194.0</v>
      </c>
      <c r="E9" s="121">
        <f t="shared" si="1"/>
        <v>155.2</v>
      </c>
    </row>
    <row r="10">
      <c r="A10" s="13" t="s">
        <v>1444</v>
      </c>
      <c r="B10" s="13" t="s">
        <v>256</v>
      </c>
      <c r="C10" s="13" t="s">
        <v>1445</v>
      </c>
      <c r="D10" s="122">
        <v>699.0</v>
      </c>
      <c r="E10" s="121">
        <f t="shared" si="1"/>
        <v>559.2</v>
      </c>
    </row>
    <row r="11">
      <c r="A11" s="13" t="s">
        <v>1446</v>
      </c>
      <c r="B11" s="13" t="s">
        <v>259</v>
      </c>
      <c r="C11" s="13" t="s">
        <v>1445</v>
      </c>
      <c r="D11" s="121">
        <v>349.0</v>
      </c>
      <c r="E11" s="121">
        <f t="shared" si="1"/>
        <v>279.2</v>
      </c>
    </row>
    <row r="12">
      <c r="A12" s="13" t="s">
        <v>419</v>
      </c>
      <c r="B12" s="13" t="s">
        <v>69</v>
      </c>
      <c r="C12" s="13" t="s">
        <v>1445</v>
      </c>
      <c r="D12" s="123">
        <v>199.0</v>
      </c>
      <c r="E12" s="121">
        <f t="shared" si="1"/>
        <v>159.2</v>
      </c>
    </row>
    <row r="13">
      <c r="A13" s="13" t="s">
        <v>421</v>
      </c>
      <c r="B13" s="13" t="s">
        <v>72</v>
      </c>
      <c r="C13" s="13" t="s">
        <v>1445</v>
      </c>
      <c r="D13" s="123">
        <v>339.0</v>
      </c>
      <c r="E13" s="121">
        <f t="shared" si="1"/>
        <v>271.2</v>
      </c>
    </row>
    <row r="14">
      <c r="A14" s="13" t="s">
        <v>422</v>
      </c>
      <c r="B14" s="13" t="s">
        <v>74</v>
      </c>
      <c r="C14" s="13" t="s">
        <v>1445</v>
      </c>
      <c r="D14" s="123">
        <v>558.0</v>
      </c>
      <c r="E14" s="121">
        <f t="shared" si="1"/>
        <v>446.4</v>
      </c>
    </row>
    <row r="15">
      <c r="A15" s="9" t="s">
        <v>1447</v>
      </c>
      <c r="B15" s="9" t="s">
        <v>76</v>
      </c>
      <c r="C15" s="9" t="s">
        <v>1448</v>
      </c>
      <c r="D15" s="120">
        <v>149.0</v>
      </c>
      <c r="E15" s="121">
        <f t="shared" si="1"/>
        <v>119.2</v>
      </c>
    </row>
    <row r="16">
      <c r="A16" s="9" t="s">
        <v>1449</v>
      </c>
      <c r="B16" s="9" t="s">
        <v>79</v>
      </c>
      <c r="C16" s="9" t="s">
        <v>1448</v>
      </c>
      <c r="D16" s="120">
        <v>259.0</v>
      </c>
      <c r="E16" s="121">
        <f t="shared" si="1"/>
        <v>207.2</v>
      </c>
    </row>
    <row r="17">
      <c r="A17" s="9" t="s">
        <v>1450</v>
      </c>
      <c r="B17" s="9" t="s">
        <v>1451</v>
      </c>
      <c r="C17" s="9" t="s">
        <v>1452</v>
      </c>
      <c r="D17" s="120">
        <v>500.0</v>
      </c>
      <c r="E17" s="121">
        <f t="shared" si="1"/>
        <v>400</v>
      </c>
    </row>
    <row r="18">
      <c r="A18" s="13" t="s">
        <v>419</v>
      </c>
      <c r="B18" s="13" t="s">
        <v>69</v>
      </c>
      <c r="C18" s="9" t="s">
        <v>1452</v>
      </c>
      <c r="D18" s="123">
        <v>199.0</v>
      </c>
      <c r="E18" s="121">
        <f t="shared" si="1"/>
        <v>159.2</v>
      </c>
    </row>
    <row r="19">
      <c r="A19" s="13" t="s">
        <v>421</v>
      </c>
      <c r="B19" s="13" t="s">
        <v>72</v>
      </c>
      <c r="C19" s="9" t="s">
        <v>1452</v>
      </c>
      <c r="D19" s="123">
        <v>339.0</v>
      </c>
      <c r="E19" s="121">
        <f t="shared" si="1"/>
        <v>271.2</v>
      </c>
    </row>
    <row r="20">
      <c r="A20" s="13" t="s">
        <v>422</v>
      </c>
      <c r="B20" s="13" t="s">
        <v>74</v>
      </c>
      <c r="C20" s="9" t="s">
        <v>1452</v>
      </c>
      <c r="D20" s="123">
        <v>558.0</v>
      </c>
      <c r="E20" s="121">
        <f t="shared" si="1"/>
        <v>446.4</v>
      </c>
    </row>
    <row r="21" ht="15.75" customHeight="1">
      <c r="A21" s="9" t="s">
        <v>1453</v>
      </c>
      <c r="B21" s="9" t="s">
        <v>691</v>
      </c>
      <c r="C21" s="9" t="s">
        <v>1454</v>
      </c>
      <c r="D21" s="120">
        <v>69.0</v>
      </c>
      <c r="E21" s="121">
        <f t="shared" si="1"/>
        <v>55.2</v>
      </c>
    </row>
    <row r="22" ht="15.75" customHeight="1">
      <c r="A22" s="9" t="s">
        <v>1455</v>
      </c>
      <c r="B22" s="9" t="s">
        <v>694</v>
      </c>
      <c r="C22" s="9" t="s">
        <v>1454</v>
      </c>
      <c r="D22" s="120">
        <v>138.0</v>
      </c>
      <c r="E22" s="121">
        <f t="shared" si="1"/>
        <v>110.4</v>
      </c>
    </row>
    <row r="23" ht="15.75" customHeight="1">
      <c r="A23" s="9" t="s">
        <v>1456</v>
      </c>
      <c r="B23" s="9" t="s">
        <v>76</v>
      </c>
      <c r="C23" s="9" t="s">
        <v>1457</v>
      </c>
      <c r="D23" s="120">
        <v>119.0</v>
      </c>
      <c r="E23" s="121">
        <f t="shared" si="1"/>
        <v>95.2</v>
      </c>
    </row>
    <row r="24" ht="15.75" customHeight="1">
      <c r="A24" s="9" t="s">
        <v>1458</v>
      </c>
      <c r="B24" s="9" t="s">
        <v>79</v>
      </c>
      <c r="C24" s="9" t="s">
        <v>1457</v>
      </c>
      <c r="D24" s="120">
        <v>209.0</v>
      </c>
      <c r="E24" s="121">
        <f t="shared" si="1"/>
        <v>167.2</v>
      </c>
    </row>
    <row r="25" ht="15.75" customHeight="1">
      <c r="A25" s="13" t="s">
        <v>419</v>
      </c>
      <c r="B25" s="13" t="s">
        <v>69</v>
      </c>
      <c r="C25" s="9" t="s">
        <v>1457</v>
      </c>
      <c r="D25" s="123">
        <v>199.0</v>
      </c>
      <c r="E25" s="121">
        <f t="shared" si="1"/>
        <v>159.2</v>
      </c>
    </row>
    <row r="26" ht="15.75" customHeight="1">
      <c r="A26" s="13" t="s">
        <v>421</v>
      </c>
      <c r="B26" s="13" t="s">
        <v>72</v>
      </c>
      <c r="C26" s="9" t="s">
        <v>1457</v>
      </c>
      <c r="D26" s="123">
        <v>339.0</v>
      </c>
      <c r="E26" s="121">
        <f t="shared" si="1"/>
        <v>271.2</v>
      </c>
    </row>
    <row r="27" ht="15.75" customHeight="1">
      <c r="A27" s="13" t="s">
        <v>422</v>
      </c>
      <c r="B27" s="13" t="s">
        <v>74</v>
      </c>
      <c r="C27" s="9" t="s">
        <v>1457</v>
      </c>
      <c r="D27" s="123">
        <v>558.0</v>
      </c>
      <c r="E27" s="121">
        <f t="shared" si="1"/>
        <v>446.4</v>
      </c>
    </row>
    <row r="28" ht="15.75" customHeight="1">
      <c r="A28" s="9" t="s">
        <v>1459</v>
      </c>
      <c r="B28" s="9" t="s">
        <v>63</v>
      </c>
      <c r="C28" s="13" t="s">
        <v>1460</v>
      </c>
      <c r="D28" s="124">
        <v>630.0</v>
      </c>
      <c r="E28" s="121">
        <f t="shared" si="1"/>
        <v>504</v>
      </c>
    </row>
    <row r="29" ht="15.75" customHeight="1">
      <c r="A29" s="83" t="s">
        <v>1461</v>
      </c>
      <c r="B29" s="9" t="s">
        <v>231</v>
      </c>
      <c r="C29" s="13" t="s">
        <v>1460</v>
      </c>
      <c r="D29" s="124">
        <v>200.0</v>
      </c>
      <c r="E29" s="121">
        <f t="shared" si="1"/>
        <v>160</v>
      </c>
    </row>
    <row r="30" ht="15.75" customHeight="1">
      <c r="A30" s="9" t="s">
        <v>621</v>
      </c>
      <c r="B30" s="9" t="s">
        <v>1462</v>
      </c>
      <c r="C30" s="13" t="s">
        <v>1460</v>
      </c>
      <c r="D30" s="124">
        <v>99.0</v>
      </c>
      <c r="E30" s="121">
        <f t="shared" si="1"/>
        <v>79.2</v>
      </c>
    </row>
    <row r="31" ht="15.75" customHeight="1">
      <c r="A31" s="9" t="s">
        <v>1463</v>
      </c>
      <c r="B31" s="9" t="s">
        <v>76</v>
      </c>
      <c r="C31" s="13" t="s">
        <v>1460</v>
      </c>
      <c r="D31" s="124">
        <v>239.0</v>
      </c>
      <c r="E31" s="121">
        <f t="shared" si="1"/>
        <v>191.2</v>
      </c>
    </row>
    <row r="32" ht="15.75" customHeight="1">
      <c r="A32" s="9" t="s">
        <v>1464</v>
      </c>
      <c r="B32" s="9" t="s">
        <v>79</v>
      </c>
      <c r="C32" s="13" t="s">
        <v>1460</v>
      </c>
      <c r="D32" s="124">
        <v>459.0</v>
      </c>
      <c r="E32" s="121">
        <f t="shared" si="1"/>
        <v>367.2</v>
      </c>
    </row>
    <row r="33" ht="15.75" customHeight="1">
      <c r="A33" s="13" t="s">
        <v>1465</v>
      </c>
      <c r="B33" s="13" t="s">
        <v>69</v>
      </c>
      <c r="C33" s="13" t="s">
        <v>1460</v>
      </c>
      <c r="D33" s="123">
        <v>349.0</v>
      </c>
      <c r="E33" s="121">
        <f t="shared" si="1"/>
        <v>279.2</v>
      </c>
    </row>
    <row r="34" ht="15.75" customHeight="1">
      <c r="A34" s="13" t="s">
        <v>1466</v>
      </c>
      <c r="B34" s="13" t="s">
        <v>72</v>
      </c>
      <c r="C34" s="13" t="s">
        <v>1460</v>
      </c>
      <c r="D34" s="123">
        <v>593.0</v>
      </c>
      <c r="E34" s="121">
        <f t="shared" si="1"/>
        <v>474.4</v>
      </c>
    </row>
    <row r="35" ht="15.75" customHeight="1">
      <c r="A35" s="13" t="s">
        <v>1467</v>
      </c>
      <c r="B35" s="13" t="s">
        <v>74</v>
      </c>
      <c r="C35" s="13" t="s">
        <v>1460</v>
      </c>
      <c r="D35" s="123">
        <v>977.0</v>
      </c>
      <c r="E35" s="121">
        <f t="shared" si="1"/>
        <v>781.6</v>
      </c>
    </row>
    <row r="36" ht="15.75" customHeight="1">
      <c r="A36" s="9" t="s">
        <v>1468</v>
      </c>
      <c r="B36" s="9" t="s">
        <v>256</v>
      </c>
      <c r="C36" s="13" t="s">
        <v>1469</v>
      </c>
      <c r="D36" s="124">
        <v>89.0</v>
      </c>
      <c r="E36" s="121">
        <f t="shared" si="1"/>
        <v>71.2</v>
      </c>
    </row>
    <row r="37" ht="15.75" customHeight="1">
      <c r="A37" s="9" t="s">
        <v>1470</v>
      </c>
      <c r="B37" s="9" t="s">
        <v>259</v>
      </c>
      <c r="C37" s="13" t="s">
        <v>1469</v>
      </c>
      <c r="D37" s="124">
        <v>169.0</v>
      </c>
      <c r="E37" s="121">
        <f t="shared" si="1"/>
        <v>135.2</v>
      </c>
    </row>
    <row r="38" ht="15.75" customHeight="1">
      <c r="A38" s="9" t="s">
        <v>1471</v>
      </c>
      <c r="B38" s="9" t="s">
        <v>1472</v>
      </c>
      <c r="C38" s="9" t="s">
        <v>1473</v>
      </c>
      <c r="D38" s="124">
        <v>900.0</v>
      </c>
      <c r="E38" s="121">
        <f t="shared" si="1"/>
        <v>720</v>
      </c>
    </row>
    <row r="39" ht="15.75" customHeight="1">
      <c r="A39" s="9" t="s">
        <v>1474</v>
      </c>
      <c r="B39" s="9" t="s">
        <v>231</v>
      </c>
      <c r="C39" s="9" t="s">
        <v>1473</v>
      </c>
      <c r="D39" s="124">
        <v>100.0</v>
      </c>
      <c r="E39" s="121">
        <f t="shared" si="1"/>
        <v>80</v>
      </c>
    </row>
    <row r="40" ht="15.75" customHeight="1">
      <c r="A40" s="13" t="s">
        <v>415</v>
      </c>
      <c r="B40" s="9" t="s">
        <v>69</v>
      </c>
      <c r="C40" s="9" t="s">
        <v>1473</v>
      </c>
      <c r="D40" s="124">
        <v>129.0</v>
      </c>
      <c r="E40" s="121">
        <f t="shared" si="1"/>
        <v>103.2</v>
      </c>
    </row>
    <row r="41" ht="15.75" customHeight="1">
      <c r="A41" s="13" t="s">
        <v>417</v>
      </c>
      <c r="B41" s="9" t="s">
        <v>72</v>
      </c>
      <c r="C41" s="9" t="s">
        <v>1473</v>
      </c>
      <c r="D41" s="124">
        <v>220.0</v>
      </c>
      <c r="E41" s="121">
        <f t="shared" si="1"/>
        <v>176</v>
      </c>
    </row>
    <row r="42" ht="15.75" customHeight="1">
      <c r="A42" s="13" t="s">
        <v>418</v>
      </c>
      <c r="B42" s="9" t="s">
        <v>74</v>
      </c>
      <c r="C42" s="9" t="s">
        <v>1473</v>
      </c>
      <c r="D42" s="124">
        <v>362.0</v>
      </c>
      <c r="E42" s="121">
        <f t="shared" si="1"/>
        <v>289.6</v>
      </c>
    </row>
    <row r="43" ht="15.75" customHeight="1">
      <c r="A43" s="9" t="s">
        <v>1475</v>
      </c>
      <c r="B43" s="9" t="s">
        <v>256</v>
      </c>
      <c r="C43" s="13" t="s">
        <v>1476</v>
      </c>
      <c r="D43" s="124">
        <v>79.0</v>
      </c>
      <c r="E43" s="121">
        <f t="shared" si="1"/>
        <v>63.2</v>
      </c>
    </row>
    <row r="44" ht="15.75" customHeight="1">
      <c r="A44" s="9" t="s">
        <v>1477</v>
      </c>
      <c r="B44" s="9" t="s">
        <v>259</v>
      </c>
      <c r="C44" s="13" t="s">
        <v>1476</v>
      </c>
      <c r="D44" s="124">
        <v>139.0</v>
      </c>
      <c r="E44" s="121">
        <f t="shared" si="1"/>
        <v>111.2</v>
      </c>
    </row>
    <row r="45" ht="15.75" customHeight="1">
      <c r="A45" s="9" t="s">
        <v>1478</v>
      </c>
      <c r="B45" s="9" t="s">
        <v>256</v>
      </c>
      <c r="C45" s="9" t="s">
        <v>1479</v>
      </c>
      <c r="D45" s="124">
        <v>49.0</v>
      </c>
      <c r="E45" s="121">
        <f t="shared" si="1"/>
        <v>39.2</v>
      </c>
    </row>
    <row r="46" ht="15.75" customHeight="1">
      <c r="A46" s="9" t="s">
        <v>1480</v>
      </c>
      <c r="B46" s="9" t="s">
        <v>259</v>
      </c>
      <c r="C46" s="9" t="s">
        <v>1479</v>
      </c>
      <c r="D46" s="124">
        <v>79.0</v>
      </c>
      <c r="E46" s="121">
        <f t="shared" si="1"/>
        <v>63.2</v>
      </c>
    </row>
    <row r="47" ht="15.75" customHeight="1">
      <c r="A47" s="13" t="s">
        <v>829</v>
      </c>
      <c r="B47" s="9" t="s">
        <v>69</v>
      </c>
      <c r="C47" s="9" t="s">
        <v>1479</v>
      </c>
      <c r="D47" s="124">
        <v>69.0</v>
      </c>
      <c r="E47" s="121">
        <f t="shared" si="1"/>
        <v>55.2</v>
      </c>
    </row>
    <row r="48" ht="15.75" customHeight="1">
      <c r="A48" s="13" t="s">
        <v>831</v>
      </c>
      <c r="B48" s="9" t="s">
        <v>72</v>
      </c>
      <c r="C48" s="9" t="s">
        <v>1479</v>
      </c>
      <c r="D48" s="124">
        <v>118.0</v>
      </c>
      <c r="E48" s="121">
        <f t="shared" si="1"/>
        <v>94.4</v>
      </c>
    </row>
    <row r="49" ht="15.75" customHeight="1">
      <c r="A49" s="13" t="s">
        <v>832</v>
      </c>
      <c r="B49" s="9" t="s">
        <v>74</v>
      </c>
      <c r="C49" s="9" t="s">
        <v>1479</v>
      </c>
      <c r="D49" s="124">
        <v>194.0</v>
      </c>
      <c r="E49" s="121">
        <f t="shared" si="1"/>
        <v>155.2</v>
      </c>
    </row>
    <row r="50" ht="15.75" customHeight="1">
      <c r="A50" s="13" t="s">
        <v>1481</v>
      </c>
      <c r="B50" s="13" t="s">
        <v>69</v>
      </c>
      <c r="C50" s="9" t="s">
        <v>1482</v>
      </c>
      <c r="D50" s="123">
        <v>209.0</v>
      </c>
      <c r="E50" s="121">
        <f t="shared" si="1"/>
        <v>167.2</v>
      </c>
    </row>
    <row r="51" ht="15.75" customHeight="1">
      <c r="A51" s="13" t="s">
        <v>1483</v>
      </c>
      <c r="B51" s="13" t="s">
        <v>72</v>
      </c>
      <c r="C51" s="9" t="s">
        <v>1482</v>
      </c>
      <c r="D51" s="123">
        <v>355.0</v>
      </c>
      <c r="E51" s="121">
        <f t="shared" si="1"/>
        <v>284</v>
      </c>
    </row>
    <row r="52" ht="15.75" customHeight="1">
      <c r="A52" s="13" t="s">
        <v>1484</v>
      </c>
      <c r="B52" s="13" t="s">
        <v>74</v>
      </c>
      <c r="C52" s="9" t="s">
        <v>1482</v>
      </c>
      <c r="D52" s="123">
        <v>585.0</v>
      </c>
      <c r="E52" s="121">
        <f t="shared" si="1"/>
        <v>468</v>
      </c>
      <c r="F52" s="37"/>
      <c r="G52" s="37"/>
      <c r="H52" s="37"/>
    </row>
    <row r="53" ht="15.75" customHeight="1">
      <c r="A53" s="9" t="s">
        <v>1485</v>
      </c>
      <c r="B53" s="9" t="s">
        <v>256</v>
      </c>
      <c r="C53" s="9" t="s">
        <v>1482</v>
      </c>
      <c r="D53" s="124">
        <v>139.0</v>
      </c>
      <c r="E53" s="121">
        <f t="shared" si="1"/>
        <v>111.2</v>
      </c>
    </row>
    <row r="54" ht="15.75" customHeight="1">
      <c r="A54" s="9" t="s">
        <v>1486</v>
      </c>
      <c r="B54" s="9" t="s">
        <v>259</v>
      </c>
      <c r="C54" s="9" t="s">
        <v>1482</v>
      </c>
      <c r="D54" s="124">
        <v>259.0</v>
      </c>
      <c r="E54" s="121">
        <f t="shared" si="1"/>
        <v>207.2</v>
      </c>
    </row>
    <row r="55" ht="15.75" customHeight="1">
      <c r="A55" s="9" t="s">
        <v>621</v>
      </c>
      <c r="B55" s="9" t="s">
        <v>1487</v>
      </c>
      <c r="C55" s="9" t="s">
        <v>1482</v>
      </c>
      <c r="D55" s="124">
        <v>99.0</v>
      </c>
      <c r="E55" s="121">
        <f t="shared" si="1"/>
        <v>79.2</v>
      </c>
    </row>
    <row r="56" ht="15.75" customHeight="1">
      <c r="A56" s="9" t="s">
        <v>731</v>
      </c>
      <c r="B56" s="9" t="s">
        <v>732</v>
      </c>
      <c r="C56" s="9" t="s">
        <v>1482</v>
      </c>
      <c r="D56" s="124">
        <v>29.0</v>
      </c>
      <c r="E56" s="121">
        <f t="shared" si="1"/>
        <v>23.2</v>
      </c>
    </row>
    <row r="57" ht="15.75" customHeight="1">
      <c r="A57" s="9" t="s">
        <v>734</v>
      </c>
      <c r="B57" s="9" t="s">
        <v>735</v>
      </c>
      <c r="C57" s="9" t="s">
        <v>1482</v>
      </c>
      <c r="D57" s="124">
        <v>49.0</v>
      </c>
      <c r="E57" s="121">
        <f t="shared" si="1"/>
        <v>39.2</v>
      </c>
    </row>
    <row r="58" ht="15.75" customHeight="1">
      <c r="A58" s="7" t="s">
        <v>1488</v>
      </c>
      <c r="B58" s="7" t="s">
        <v>1489</v>
      </c>
      <c r="C58" s="9" t="s">
        <v>1482</v>
      </c>
      <c r="D58" s="122">
        <v>99.0</v>
      </c>
      <c r="E58" s="121">
        <f t="shared" si="1"/>
        <v>79.2</v>
      </c>
    </row>
    <row r="59" ht="15.75" customHeight="1">
      <c r="A59" s="13" t="s">
        <v>1490</v>
      </c>
      <c r="B59" s="13" t="s">
        <v>69</v>
      </c>
      <c r="C59" s="9" t="s">
        <v>1491</v>
      </c>
      <c r="D59" s="123">
        <v>139.0</v>
      </c>
      <c r="E59" s="121">
        <f t="shared" si="1"/>
        <v>111.2</v>
      </c>
    </row>
    <row r="60" ht="15.75" customHeight="1">
      <c r="A60" s="13" t="s">
        <v>1492</v>
      </c>
      <c r="B60" s="13" t="s">
        <v>72</v>
      </c>
      <c r="C60" s="9" t="s">
        <v>1491</v>
      </c>
      <c r="D60" s="123">
        <v>236.0</v>
      </c>
      <c r="E60" s="121">
        <f t="shared" si="1"/>
        <v>188.8</v>
      </c>
    </row>
    <row r="61" ht="15.75" customHeight="1">
      <c r="A61" s="13" t="s">
        <v>1493</v>
      </c>
      <c r="B61" s="13" t="s">
        <v>74</v>
      </c>
      <c r="C61" s="9" t="s">
        <v>1491</v>
      </c>
      <c r="D61" s="123">
        <v>389.0</v>
      </c>
      <c r="E61" s="121">
        <f t="shared" si="1"/>
        <v>311.2</v>
      </c>
    </row>
    <row r="62" ht="15.75" customHeight="1">
      <c r="A62" s="9" t="s">
        <v>1494</v>
      </c>
      <c r="B62" s="9" t="s">
        <v>256</v>
      </c>
      <c r="C62" s="9" t="s">
        <v>1491</v>
      </c>
      <c r="D62" s="121">
        <v>99.0</v>
      </c>
      <c r="E62" s="121">
        <f t="shared" si="1"/>
        <v>79.2</v>
      </c>
    </row>
    <row r="63" ht="15.75" customHeight="1">
      <c r="A63" s="9" t="s">
        <v>1495</v>
      </c>
      <c r="B63" s="9" t="s">
        <v>259</v>
      </c>
      <c r="C63" s="9" t="s">
        <v>1491</v>
      </c>
      <c r="D63" s="121">
        <v>179.0</v>
      </c>
      <c r="E63" s="121">
        <f t="shared" si="1"/>
        <v>143.2</v>
      </c>
    </row>
    <row r="64" ht="15.75" customHeight="1">
      <c r="A64" s="9" t="s">
        <v>1496</v>
      </c>
      <c r="B64" s="9" t="s">
        <v>256</v>
      </c>
      <c r="C64" s="9" t="s">
        <v>1497</v>
      </c>
      <c r="D64" s="120">
        <v>99.0</v>
      </c>
      <c r="E64" s="121">
        <f t="shared" si="1"/>
        <v>79.2</v>
      </c>
    </row>
    <row r="65" ht="15.75" customHeight="1">
      <c r="A65" s="9" t="s">
        <v>1498</v>
      </c>
      <c r="B65" s="9" t="s">
        <v>259</v>
      </c>
      <c r="C65" s="9" t="s">
        <v>1497</v>
      </c>
      <c r="D65" s="120">
        <v>189.0</v>
      </c>
      <c r="E65" s="121">
        <f t="shared" si="1"/>
        <v>151.2</v>
      </c>
    </row>
    <row r="66" ht="15.75" customHeight="1">
      <c r="A66" s="13" t="s">
        <v>1499</v>
      </c>
      <c r="B66" s="13" t="s">
        <v>69</v>
      </c>
      <c r="C66" s="9" t="s">
        <v>1497</v>
      </c>
      <c r="D66" s="123">
        <v>99.0</v>
      </c>
      <c r="E66" s="121">
        <f t="shared" si="1"/>
        <v>79.2</v>
      </c>
    </row>
    <row r="67" ht="15.75" customHeight="1">
      <c r="A67" s="13" t="s">
        <v>1500</v>
      </c>
      <c r="B67" s="13" t="s">
        <v>72</v>
      </c>
      <c r="C67" s="9" t="s">
        <v>1497</v>
      </c>
      <c r="D67" s="123">
        <v>168.0</v>
      </c>
      <c r="E67" s="121">
        <f t="shared" si="1"/>
        <v>134.4</v>
      </c>
    </row>
    <row r="68" ht="15.75" customHeight="1">
      <c r="A68" s="13" t="s">
        <v>1501</v>
      </c>
      <c r="B68" s="13" t="s">
        <v>74</v>
      </c>
      <c r="C68" s="9" t="s">
        <v>1497</v>
      </c>
      <c r="D68" s="123">
        <v>277.0</v>
      </c>
      <c r="E68" s="121">
        <f t="shared" si="1"/>
        <v>221.6</v>
      </c>
    </row>
    <row r="69" ht="15.75" customHeight="1">
      <c r="A69" s="9" t="s">
        <v>1502</v>
      </c>
      <c r="B69" s="9" t="s">
        <v>256</v>
      </c>
      <c r="C69" s="9" t="s">
        <v>1503</v>
      </c>
      <c r="D69" s="120">
        <v>59.0</v>
      </c>
      <c r="E69" s="121">
        <f t="shared" si="1"/>
        <v>47.2</v>
      </c>
    </row>
    <row r="70" ht="15.75" customHeight="1">
      <c r="A70" s="9" t="s">
        <v>1504</v>
      </c>
      <c r="B70" s="9" t="s">
        <v>259</v>
      </c>
      <c r="C70" s="9" t="s">
        <v>1503</v>
      </c>
      <c r="D70" s="120">
        <v>109.0</v>
      </c>
      <c r="E70" s="121">
        <f t="shared" si="1"/>
        <v>87.2</v>
      </c>
    </row>
    <row r="71" ht="15.75" customHeight="1">
      <c r="A71" s="13" t="s">
        <v>755</v>
      </c>
      <c r="B71" s="9" t="s">
        <v>69</v>
      </c>
      <c r="C71" s="9" t="s">
        <v>1503</v>
      </c>
      <c r="D71" s="124">
        <v>89.0</v>
      </c>
      <c r="E71" s="121">
        <f t="shared" si="1"/>
        <v>71.2</v>
      </c>
    </row>
    <row r="72" ht="15.75" customHeight="1">
      <c r="A72" s="13" t="s">
        <v>757</v>
      </c>
      <c r="B72" s="9" t="s">
        <v>72</v>
      </c>
      <c r="C72" s="9" t="s">
        <v>1503</v>
      </c>
      <c r="D72" s="124">
        <v>152.0</v>
      </c>
      <c r="E72" s="121">
        <f t="shared" si="1"/>
        <v>121.6</v>
      </c>
    </row>
    <row r="73" ht="15.75" customHeight="1">
      <c r="A73" s="13" t="s">
        <v>758</v>
      </c>
      <c r="B73" s="9" t="s">
        <v>74</v>
      </c>
      <c r="C73" s="9" t="s">
        <v>1503</v>
      </c>
      <c r="D73" s="124">
        <v>250.0</v>
      </c>
      <c r="E73" s="121">
        <f t="shared" si="1"/>
        <v>200</v>
      </c>
    </row>
    <row r="74" ht="15.75" customHeight="1">
      <c r="A74" s="9" t="s">
        <v>1505</v>
      </c>
      <c r="B74" s="9" t="s">
        <v>256</v>
      </c>
      <c r="C74" s="9" t="s">
        <v>1506</v>
      </c>
      <c r="D74" s="120">
        <v>49.0</v>
      </c>
      <c r="E74" s="121">
        <f t="shared" si="1"/>
        <v>39.2</v>
      </c>
    </row>
    <row r="75" ht="15.75" customHeight="1">
      <c r="A75" s="9" t="s">
        <v>1507</v>
      </c>
      <c r="B75" s="9" t="s">
        <v>259</v>
      </c>
      <c r="C75" s="9" t="s">
        <v>1506</v>
      </c>
      <c r="D75" s="120">
        <v>99.0</v>
      </c>
      <c r="E75" s="121">
        <f t="shared" si="1"/>
        <v>79.2</v>
      </c>
    </row>
    <row r="76" ht="15.75" customHeight="1">
      <c r="A76" s="13" t="s">
        <v>829</v>
      </c>
      <c r="B76" s="9" t="s">
        <v>69</v>
      </c>
      <c r="C76" s="9" t="s">
        <v>1506</v>
      </c>
      <c r="D76" s="124">
        <v>69.0</v>
      </c>
      <c r="E76" s="121">
        <f t="shared" si="1"/>
        <v>55.2</v>
      </c>
    </row>
    <row r="77" ht="15.75" customHeight="1">
      <c r="A77" s="13" t="s">
        <v>831</v>
      </c>
      <c r="B77" s="9" t="s">
        <v>72</v>
      </c>
      <c r="C77" s="9" t="s">
        <v>1506</v>
      </c>
      <c r="D77" s="124">
        <v>118.0</v>
      </c>
      <c r="E77" s="121">
        <f t="shared" si="1"/>
        <v>94.4</v>
      </c>
    </row>
    <row r="78" ht="15.75" customHeight="1">
      <c r="A78" s="13" t="s">
        <v>832</v>
      </c>
      <c r="B78" s="9" t="s">
        <v>74</v>
      </c>
      <c r="C78" s="9" t="s">
        <v>1506</v>
      </c>
      <c r="D78" s="124">
        <v>194.0</v>
      </c>
      <c r="E78" s="121">
        <f t="shared" si="1"/>
        <v>155.2</v>
      </c>
    </row>
    <row r="79" ht="15.75" customHeight="1">
      <c r="A79" s="9" t="s">
        <v>1508</v>
      </c>
      <c r="B79" s="9" t="s">
        <v>1509</v>
      </c>
      <c r="C79" s="9" t="s">
        <v>1510</v>
      </c>
      <c r="D79" s="120">
        <v>100.0</v>
      </c>
      <c r="E79" s="121">
        <f t="shared" si="1"/>
        <v>80</v>
      </c>
    </row>
    <row r="80" ht="15.75" customHeight="1">
      <c r="A80" s="13" t="s">
        <v>1511</v>
      </c>
      <c r="B80" s="13" t="s">
        <v>69</v>
      </c>
      <c r="C80" s="9" t="s">
        <v>1512</v>
      </c>
      <c r="D80" s="123">
        <v>179.0</v>
      </c>
      <c r="E80" s="121">
        <f t="shared" si="1"/>
        <v>143.2</v>
      </c>
    </row>
    <row r="81" ht="15.75" customHeight="1">
      <c r="A81" s="13" t="s">
        <v>1513</v>
      </c>
      <c r="B81" s="13" t="s">
        <v>72</v>
      </c>
      <c r="C81" s="9" t="s">
        <v>1512</v>
      </c>
      <c r="D81" s="123">
        <v>304.0</v>
      </c>
      <c r="E81" s="121">
        <f t="shared" si="1"/>
        <v>243.2</v>
      </c>
    </row>
    <row r="82" ht="15.75" customHeight="1">
      <c r="A82" s="13" t="s">
        <v>1514</v>
      </c>
      <c r="B82" s="13" t="s">
        <v>74</v>
      </c>
      <c r="C82" s="9" t="s">
        <v>1512</v>
      </c>
      <c r="D82" s="123">
        <v>501.0</v>
      </c>
      <c r="E82" s="121">
        <f t="shared" si="1"/>
        <v>400.8</v>
      </c>
    </row>
    <row r="83" ht="15.75" customHeight="1">
      <c r="A83" s="9" t="s">
        <v>1515</v>
      </c>
      <c r="B83" s="9" t="s">
        <v>256</v>
      </c>
      <c r="C83" s="9" t="s">
        <v>1512</v>
      </c>
      <c r="D83" s="121">
        <v>119.0</v>
      </c>
      <c r="E83" s="121">
        <f t="shared" si="1"/>
        <v>95.2</v>
      </c>
    </row>
    <row r="84" ht="15.75" customHeight="1">
      <c r="A84" s="9" t="s">
        <v>1516</v>
      </c>
      <c r="B84" s="9" t="s">
        <v>259</v>
      </c>
      <c r="C84" s="9" t="s">
        <v>1512</v>
      </c>
      <c r="D84" s="121">
        <v>229.0</v>
      </c>
      <c r="E84" s="121">
        <f t="shared" si="1"/>
        <v>183.2</v>
      </c>
    </row>
    <row r="85" ht="15.75" customHeight="1">
      <c r="A85" s="13" t="s">
        <v>1517</v>
      </c>
      <c r="B85" s="13" t="s">
        <v>69</v>
      </c>
      <c r="C85" s="9" t="s">
        <v>1518</v>
      </c>
      <c r="D85" s="121">
        <v>180.0</v>
      </c>
      <c r="E85" s="121">
        <f t="shared" si="1"/>
        <v>144</v>
      </c>
    </row>
    <row r="86" ht="15.75" customHeight="1">
      <c r="A86" s="13" t="s">
        <v>1519</v>
      </c>
      <c r="B86" s="13" t="s">
        <v>72</v>
      </c>
      <c r="C86" s="9" t="s">
        <v>1518</v>
      </c>
      <c r="D86" s="121">
        <v>181.0</v>
      </c>
      <c r="E86" s="121">
        <f t="shared" si="1"/>
        <v>144.8</v>
      </c>
    </row>
    <row r="87" ht="15.75" customHeight="1">
      <c r="A87" s="13" t="s">
        <v>1520</v>
      </c>
      <c r="B87" s="13" t="s">
        <v>74</v>
      </c>
      <c r="C87" s="9" t="s">
        <v>1518</v>
      </c>
      <c r="D87" s="121">
        <v>182.0</v>
      </c>
      <c r="E87" s="121">
        <f t="shared" si="1"/>
        <v>145.6</v>
      </c>
    </row>
    <row r="88" ht="15.75" customHeight="1">
      <c r="A88" s="9" t="s">
        <v>1521</v>
      </c>
      <c r="B88" s="9" t="s">
        <v>256</v>
      </c>
      <c r="C88" s="9" t="s">
        <v>1518</v>
      </c>
      <c r="D88" s="121">
        <v>109.0</v>
      </c>
      <c r="E88" s="121">
        <f t="shared" si="1"/>
        <v>87.2</v>
      </c>
    </row>
    <row r="89" ht="15.75" customHeight="1">
      <c r="A89" s="9" t="s">
        <v>1522</v>
      </c>
      <c r="B89" s="9" t="s">
        <v>259</v>
      </c>
      <c r="C89" s="9" t="s">
        <v>1518</v>
      </c>
      <c r="D89" s="121">
        <v>199.0</v>
      </c>
      <c r="E89" s="121">
        <f t="shared" si="1"/>
        <v>159.2</v>
      </c>
    </row>
    <row r="90" ht="15.75" customHeight="1">
      <c r="A90" s="13" t="s">
        <v>1523</v>
      </c>
      <c r="B90" s="13" t="s">
        <v>69</v>
      </c>
      <c r="C90" s="9" t="s">
        <v>1524</v>
      </c>
      <c r="D90" s="123">
        <v>199.0</v>
      </c>
      <c r="E90" s="121">
        <f t="shared" si="1"/>
        <v>159.2</v>
      </c>
    </row>
    <row r="91" ht="15.75" customHeight="1">
      <c r="A91" s="13" t="s">
        <v>1525</v>
      </c>
      <c r="B91" s="13" t="s">
        <v>72</v>
      </c>
      <c r="C91" s="9" t="s">
        <v>1524</v>
      </c>
      <c r="D91" s="123">
        <v>338.0</v>
      </c>
      <c r="E91" s="121">
        <f t="shared" si="1"/>
        <v>270.4</v>
      </c>
    </row>
    <row r="92" ht="15.75" customHeight="1">
      <c r="A92" s="13" t="s">
        <v>1526</v>
      </c>
      <c r="B92" s="13" t="s">
        <v>74</v>
      </c>
      <c r="C92" s="9" t="s">
        <v>1524</v>
      </c>
      <c r="D92" s="123">
        <v>557.0</v>
      </c>
      <c r="E92" s="121">
        <f t="shared" si="1"/>
        <v>445.6</v>
      </c>
    </row>
    <row r="93" ht="15.75" customHeight="1">
      <c r="A93" s="9" t="s">
        <v>1527</v>
      </c>
      <c r="B93" s="9" t="s">
        <v>256</v>
      </c>
      <c r="C93" s="9" t="s">
        <v>1524</v>
      </c>
      <c r="D93" s="124">
        <v>139.0</v>
      </c>
      <c r="E93" s="121">
        <f t="shared" si="1"/>
        <v>111.2</v>
      </c>
    </row>
    <row r="94" ht="15.75" customHeight="1">
      <c r="A94" s="9" t="s">
        <v>1528</v>
      </c>
      <c r="B94" s="9" t="s">
        <v>259</v>
      </c>
      <c r="C94" s="9" t="s">
        <v>1524</v>
      </c>
      <c r="D94" s="124">
        <v>259.0</v>
      </c>
      <c r="E94" s="121">
        <f t="shared" si="1"/>
        <v>207.2</v>
      </c>
    </row>
    <row r="95" ht="15.75" customHeight="1">
      <c r="A95" s="9" t="s">
        <v>731</v>
      </c>
      <c r="B95" s="9" t="s">
        <v>732</v>
      </c>
      <c r="C95" s="9" t="s">
        <v>1524</v>
      </c>
      <c r="D95" s="124">
        <v>29.0</v>
      </c>
      <c r="E95" s="121">
        <f t="shared" si="1"/>
        <v>23.2</v>
      </c>
    </row>
    <row r="96" ht="15.75" customHeight="1">
      <c r="A96" s="9" t="s">
        <v>734</v>
      </c>
      <c r="B96" s="9" t="s">
        <v>694</v>
      </c>
      <c r="C96" s="9" t="s">
        <v>1524</v>
      </c>
      <c r="D96" s="124">
        <v>49.0</v>
      </c>
      <c r="E96" s="121">
        <f t="shared" si="1"/>
        <v>39.2</v>
      </c>
    </row>
    <row r="97" ht="15.75" customHeight="1">
      <c r="A97" s="7" t="s">
        <v>1488</v>
      </c>
      <c r="B97" s="7" t="s">
        <v>1489</v>
      </c>
      <c r="C97" s="9" t="s">
        <v>1524</v>
      </c>
      <c r="D97" s="122">
        <v>99.0</v>
      </c>
      <c r="E97" s="121">
        <f t="shared" si="1"/>
        <v>79.2</v>
      </c>
    </row>
    <row r="98" ht="15.75" customHeight="1">
      <c r="A98" s="9" t="s">
        <v>621</v>
      </c>
      <c r="B98" s="9" t="s">
        <v>1529</v>
      </c>
      <c r="C98" s="9" t="s">
        <v>1524</v>
      </c>
      <c r="D98" s="124">
        <v>99.0</v>
      </c>
      <c r="E98" s="121">
        <f t="shared" si="1"/>
        <v>79.2</v>
      </c>
    </row>
    <row r="99" ht="15.75" customHeight="1">
      <c r="A99" s="13" t="s">
        <v>1530</v>
      </c>
      <c r="B99" s="9" t="s">
        <v>69</v>
      </c>
      <c r="C99" s="9" t="s">
        <v>1531</v>
      </c>
      <c r="D99" s="123">
        <v>179.0</v>
      </c>
      <c r="E99" s="121">
        <f t="shared" si="1"/>
        <v>143.2</v>
      </c>
    </row>
    <row r="100" ht="15.75" customHeight="1">
      <c r="A100" s="13" t="s">
        <v>1532</v>
      </c>
      <c r="B100" s="9" t="s">
        <v>72</v>
      </c>
      <c r="C100" s="9" t="s">
        <v>1531</v>
      </c>
      <c r="D100" s="123">
        <v>304.0</v>
      </c>
      <c r="E100" s="121">
        <f t="shared" si="1"/>
        <v>243.2</v>
      </c>
    </row>
    <row r="101" ht="15.75" customHeight="1">
      <c r="A101" s="13" t="s">
        <v>1533</v>
      </c>
      <c r="B101" s="9" t="s">
        <v>74</v>
      </c>
      <c r="C101" s="9" t="s">
        <v>1531</v>
      </c>
      <c r="D101" s="123">
        <v>501.0</v>
      </c>
      <c r="E101" s="121">
        <f t="shared" si="1"/>
        <v>400.8</v>
      </c>
    </row>
    <row r="102" ht="15.75" customHeight="1">
      <c r="A102" s="9" t="s">
        <v>1534</v>
      </c>
      <c r="B102" s="9" t="s">
        <v>256</v>
      </c>
      <c r="C102" s="9" t="s">
        <v>1531</v>
      </c>
      <c r="D102" s="120">
        <v>119.0</v>
      </c>
      <c r="E102" s="121">
        <f t="shared" si="1"/>
        <v>95.2</v>
      </c>
    </row>
    <row r="103" ht="15.75" customHeight="1">
      <c r="A103" s="9" t="s">
        <v>1535</v>
      </c>
      <c r="B103" s="9" t="s">
        <v>259</v>
      </c>
      <c r="C103" s="9" t="s">
        <v>1531</v>
      </c>
      <c r="D103" s="120">
        <v>219.0</v>
      </c>
      <c r="E103" s="121">
        <f t="shared" si="1"/>
        <v>175.2</v>
      </c>
    </row>
    <row r="104" ht="15.75" customHeight="1">
      <c r="A104" s="13" t="s">
        <v>1536</v>
      </c>
      <c r="B104" s="13" t="s">
        <v>259</v>
      </c>
      <c r="C104" s="13" t="s">
        <v>1537</v>
      </c>
      <c r="D104" s="121">
        <v>239.0</v>
      </c>
      <c r="E104" s="121">
        <f t="shared" si="1"/>
        <v>191.2</v>
      </c>
    </row>
    <row r="105" ht="15.75" customHeight="1">
      <c r="A105" s="13" t="s">
        <v>1538</v>
      </c>
      <c r="B105" s="9" t="s">
        <v>1539</v>
      </c>
      <c r="C105" s="13" t="s">
        <v>1537</v>
      </c>
      <c r="D105" s="121">
        <v>179.0</v>
      </c>
      <c r="E105" s="121">
        <f t="shared" si="1"/>
        <v>143.2</v>
      </c>
    </row>
    <row r="106" ht="15.75" customHeight="1">
      <c r="A106" s="13" t="s">
        <v>1540</v>
      </c>
      <c r="B106" s="9" t="s">
        <v>1541</v>
      </c>
      <c r="C106" s="13" t="s">
        <v>1537</v>
      </c>
      <c r="D106" s="121">
        <v>489.0</v>
      </c>
      <c r="E106" s="121">
        <f t="shared" si="1"/>
        <v>391.2</v>
      </c>
    </row>
    <row r="107" ht="15.75" customHeight="1">
      <c r="A107" s="13" t="s">
        <v>1542</v>
      </c>
      <c r="B107" s="13" t="s">
        <v>256</v>
      </c>
      <c r="C107" s="13" t="s">
        <v>1543</v>
      </c>
      <c r="D107" s="121">
        <v>109.0</v>
      </c>
      <c r="E107" s="121">
        <f t="shared" si="1"/>
        <v>87.2</v>
      </c>
    </row>
    <row r="108" ht="15.75" customHeight="1">
      <c r="A108" s="13" t="s">
        <v>1544</v>
      </c>
      <c r="B108" s="13" t="s">
        <v>259</v>
      </c>
      <c r="C108" s="13" t="s">
        <v>1543</v>
      </c>
      <c r="D108" s="121">
        <v>199.0</v>
      </c>
      <c r="E108" s="121">
        <f t="shared" si="1"/>
        <v>159.2</v>
      </c>
    </row>
    <row r="109" ht="15.75" customHeight="1">
      <c r="A109" s="13" t="s">
        <v>1545</v>
      </c>
      <c r="B109" s="9" t="s">
        <v>1539</v>
      </c>
      <c r="C109" s="13" t="s">
        <v>1543</v>
      </c>
      <c r="D109" s="121">
        <v>149.0</v>
      </c>
      <c r="E109" s="121">
        <f t="shared" si="1"/>
        <v>119.2</v>
      </c>
    </row>
    <row r="110" ht="15.75" customHeight="1">
      <c r="A110" s="13" t="s">
        <v>1546</v>
      </c>
      <c r="B110" s="9" t="s">
        <v>1541</v>
      </c>
      <c r="C110" s="13" t="s">
        <v>1543</v>
      </c>
      <c r="D110" s="121">
        <v>419.0</v>
      </c>
      <c r="E110" s="121">
        <f t="shared" si="1"/>
        <v>335.2</v>
      </c>
    </row>
    <row r="111" ht="15.75" customHeight="1">
      <c r="A111" s="13" t="s">
        <v>1547</v>
      </c>
      <c r="B111" s="13" t="s">
        <v>69</v>
      </c>
      <c r="C111" s="9" t="s">
        <v>1548</v>
      </c>
      <c r="D111" s="123">
        <v>929.0</v>
      </c>
      <c r="E111" s="121">
        <f t="shared" si="1"/>
        <v>743.2</v>
      </c>
    </row>
    <row r="112" ht="15.75" customHeight="1">
      <c r="A112" s="13" t="s">
        <v>1549</v>
      </c>
      <c r="B112" s="13" t="s">
        <v>72</v>
      </c>
      <c r="C112" s="9" t="s">
        <v>1548</v>
      </c>
      <c r="D112" s="123">
        <v>1579.0</v>
      </c>
      <c r="E112" s="121">
        <f t="shared" si="1"/>
        <v>1263.2</v>
      </c>
    </row>
    <row r="113" ht="15.75" customHeight="1">
      <c r="A113" s="13" t="s">
        <v>1550</v>
      </c>
      <c r="B113" s="13" t="s">
        <v>74</v>
      </c>
      <c r="C113" s="9" t="s">
        <v>1548</v>
      </c>
      <c r="D113" s="123">
        <v>2601.0</v>
      </c>
      <c r="E113" s="121">
        <f t="shared" si="1"/>
        <v>2080.8</v>
      </c>
    </row>
    <row r="114" ht="15.75" customHeight="1">
      <c r="A114" s="9" t="s">
        <v>1551</v>
      </c>
      <c r="B114" s="9" t="s">
        <v>76</v>
      </c>
      <c r="C114" s="9" t="s">
        <v>1548</v>
      </c>
      <c r="D114" s="120">
        <v>629.0</v>
      </c>
      <c r="E114" s="121">
        <f t="shared" si="1"/>
        <v>503.2</v>
      </c>
    </row>
    <row r="115" ht="15.75" customHeight="1">
      <c r="A115" s="9" t="s">
        <v>1552</v>
      </c>
      <c r="B115" s="9" t="s">
        <v>79</v>
      </c>
      <c r="C115" s="9" t="s">
        <v>1548</v>
      </c>
      <c r="D115" s="120">
        <v>1219.0</v>
      </c>
      <c r="E115" s="121">
        <f t="shared" si="1"/>
        <v>975.2</v>
      </c>
    </row>
    <row r="116" ht="15.75" customHeight="1">
      <c r="A116" s="13" t="s">
        <v>1553</v>
      </c>
      <c r="B116" s="13" t="s">
        <v>256</v>
      </c>
      <c r="C116" s="13" t="s">
        <v>1554</v>
      </c>
      <c r="D116" s="121">
        <v>849.0</v>
      </c>
      <c r="E116" s="121">
        <f t="shared" si="1"/>
        <v>679.2</v>
      </c>
    </row>
    <row r="117" ht="15.75" customHeight="1">
      <c r="A117" s="13" t="s">
        <v>1555</v>
      </c>
      <c r="B117" s="13" t="s">
        <v>259</v>
      </c>
      <c r="C117" s="13" t="s">
        <v>1554</v>
      </c>
      <c r="D117" s="121">
        <v>1649.0</v>
      </c>
      <c r="E117" s="121">
        <f t="shared" si="1"/>
        <v>1319.2</v>
      </c>
    </row>
    <row r="118" ht="15.75" customHeight="1">
      <c r="A118" s="13" t="s">
        <v>1556</v>
      </c>
      <c r="B118" s="13" t="s">
        <v>69</v>
      </c>
      <c r="C118" s="13" t="s">
        <v>1554</v>
      </c>
      <c r="D118" s="123">
        <v>1249.0</v>
      </c>
      <c r="E118" s="121">
        <f t="shared" si="1"/>
        <v>999.2</v>
      </c>
    </row>
    <row r="119" ht="15.75" customHeight="1">
      <c r="A119" s="13" t="s">
        <v>1557</v>
      </c>
      <c r="B119" s="13" t="s">
        <v>72</v>
      </c>
      <c r="C119" s="13" t="s">
        <v>1554</v>
      </c>
      <c r="D119" s="123">
        <v>2123.0</v>
      </c>
      <c r="E119" s="121">
        <f t="shared" si="1"/>
        <v>1698.4</v>
      </c>
    </row>
    <row r="120" ht="15.75" customHeight="1">
      <c r="A120" s="13" t="s">
        <v>1558</v>
      </c>
      <c r="B120" s="13" t="s">
        <v>74</v>
      </c>
      <c r="C120" s="13" t="s">
        <v>1554</v>
      </c>
      <c r="D120" s="123">
        <v>3497.0</v>
      </c>
      <c r="E120" s="121">
        <f t="shared" si="1"/>
        <v>2797.6</v>
      </c>
    </row>
    <row r="121" ht="15.75" customHeight="1">
      <c r="A121" s="13" t="s">
        <v>1559</v>
      </c>
      <c r="B121" s="13" t="s">
        <v>69</v>
      </c>
      <c r="C121" s="9" t="s">
        <v>1560</v>
      </c>
      <c r="D121" s="123">
        <v>1499.0</v>
      </c>
      <c r="E121" s="121">
        <f t="shared" si="1"/>
        <v>1199.2</v>
      </c>
    </row>
    <row r="122" ht="15.75" customHeight="1">
      <c r="A122" s="13" t="s">
        <v>1561</v>
      </c>
      <c r="B122" s="13" t="s">
        <v>72</v>
      </c>
      <c r="C122" s="9" t="s">
        <v>1560</v>
      </c>
      <c r="D122" s="123">
        <v>2548.0</v>
      </c>
      <c r="E122" s="121">
        <f t="shared" si="1"/>
        <v>2038.4</v>
      </c>
    </row>
    <row r="123" ht="15.75" customHeight="1">
      <c r="A123" s="13" t="s">
        <v>1562</v>
      </c>
      <c r="B123" s="13" t="s">
        <v>74</v>
      </c>
      <c r="C123" s="9" t="s">
        <v>1560</v>
      </c>
      <c r="D123" s="123">
        <v>4197.0</v>
      </c>
      <c r="E123" s="121">
        <f t="shared" si="1"/>
        <v>3357.6</v>
      </c>
    </row>
    <row r="124" ht="15.75" customHeight="1">
      <c r="A124" s="9" t="s">
        <v>1563</v>
      </c>
      <c r="B124" s="9" t="s">
        <v>76</v>
      </c>
      <c r="C124" s="9" t="s">
        <v>1560</v>
      </c>
      <c r="D124" s="120">
        <v>1019.0</v>
      </c>
      <c r="E124" s="121">
        <f t="shared" si="1"/>
        <v>815.2</v>
      </c>
    </row>
    <row r="125" ht="15.75" customHeight="1">
      <c r="A125" s="9" t="s">
        <v>1564</v>
      </c>
      <c r="B125" s="9" t="s">
        <v>79</v>
      </c>
      <c r="C125" s="9" t="s">
        <v>1560</v>
      </c>
      <c r="D125" s="120">
        <v>1979.0</v>
      </c>
      <c r="E125" s="121">
        <f t="shared" si="1"/>
        <v>1583.2</v>
      </c>
    </row>
    <row r="126" ht="15.75" customHeight="1">
      <c r="A126" s="125" t="s">
        <v>10</v>
      </c>
      <c r="B126" s="13" t="s">
        <v>11</v>
      </c>
      <c r="C126" s="125" t="s">
        <v>1565</v>
      </c>
      <c r="D126" s="123">
        <v>149.0</v>
      </c>
      <c r="E126" s="121">
        <f t="shared" si="1"/>
        <v>119.2</v>
      </c>
    </row>
    <row r="127" ht="15.75" customHeight="1">
      <c r="A127" s="125" t="s">
        <v>14</v>
      </c>
      <c r="B127" s="13" t="s">
        <v>15</v>
      </c>
      <c r="C127" s="125" t="s">
        <v>1565</v>
      </c>
      <c r="D127" s="123">
        <v>298.0</v>
      </c>
      <c r="E127" s="121">
        <f t="shared" si="1"/>
        <v>238.4</v>
      </c>
    </row>
    <row r="128" ht="15.75" customHeight="1">
      <c r="A128" s="125" t="s">
        <v>16</v>
      </c>
      <c r="B128" s="13" t="s">
        <v>17</v>
      </c>
      <c r="C128" s="125" t="s">
        <v>1565</v>
      </c>
      <c r="D128" s="123">
        <v>596.0</v>
      </c>
      <c r="E128" s="121">
        <f t="shared" si="1"/>
        <v>476.8</v>
      </c>
    </row>
    <row r="129" ht="15.75" customHeight="1">
      <c r="A129" s="13" t="s">
        <v>18</v>
      </c>
      <c r="B129" s="13" t="s">
        <v>19</v>
      </c>
      <c r="C129" s="125" t="s">
        <v>1565</v>
      </c>
      <c r="D129" s="123">
        <v>179.0</v>
      </c>
      <c r="E129" s="121">
        <f t="shared" si="1"/>
        <v>143.2</v>
      </c>
    </row>
    <row r="130" ht="15.75" customHeight="1">
      <c r="A130" s="13" t="s">
        <v>21</v>
      </c>
      <c r="B130" s="13" t="s">
        <v>22</v>
      </c>
      <c r="C130" s="125" t="s">
        <v>1565</v>
      </c>
      <c r="D130" s="123">
        <v>304.0</v>
      </c>
      <c r="E130" s="121">
        <f t="shared" si="1"/>
        <v>243.2</v>
      </c>
    </row>
    <row r="131" ht="15.75" customHeight="1">
      <c r="A131" s="13" t="s">
        <v>23</v>
      </c>
      <c r="B131" s="13" t="s">
        <v>24</v>
      </c>
      <c r="C131" s="125" t="s">
        <v>1565</v>
      </c>
      <c r="D131" s="123">
        <v>501.0</v>
      </c>
      <c r="E131" s="121">
        <f t="shared" si="1"/>
        <v>400.8</v>
      </c>
    </row>
    <row r="132" ht="15.75" customHeight="1">
      <c r="A132" s="9" t="s">
        <v>495</v>
      </c>
      <c r="B132" s="13" t="s">
        <v>11</v>
      </c>
      <c r="C132" s="125" t="s">
        <v>1566</v>
      </c>
      <c r="D132" s="121">
        <v>199.0</v>
      </c>
      <c r="E132" s="121">
        <f t="shared" si="1"/>
        <v>159.2</v>
      </c>
    </row>
    <row r="133" ht="15.75" customHeight="1">
      <c r="A133" s="9" t="s">
        <v>497</v>
      </c>
      <c r="B133" s="13" t="s">
        <v>15</v>
      </c>
      <c r="C133" s="125" t="s">
        <v>1566</v>
      </c>
      <c r="D133" s="121">
        <v>398.0</v>
      </c>
      <c r="E133" s="121">
        <f t="shared" si="1"/>
        <v>318.4</v>
      </c>
    </row>
    <row r="134" ht="15.75" customHeight="1">
      <c r="A134" s="9" t="s">
        <v>498</v>
      </c>
      <c r="B134" s="13" t="s">
        <v>17</v>
      </c>
      <c r="C134" s="125" t="s">
        <v>1566</v>
      </c>
      <c r="D134" s="121">
        <v>796.0</v>
      </c>
      <c r="E134" s="121">
        <f t="shared" si="1"/>
        <v>636.8</v>
      </c>
    </row>
    <row r="135" ht="15.75" customHeight="1">
      <c r="A135" s="13" t="s">
        <v>499</v>
      </c>
      <c r="B135" s="13" t="s">
        <v>19</v>
      </c>
      <c r="C135" s="125" t="s">
        <v>1566</v>
      </c>
      <c r="D135" s="123">
        <v>239.0</v>
      </c>
      <c r="E135" s="121">
        <f t="shared" si="1"/>
        <v>191.2</v>
      </c>
    </row>
    <row r="136" ht="15.75" customHeight="1">
      <c r="A136" s="13" t="s">
        <v>501</v>
      </c>
      <c r="B136" s="13" t="s">
        <v>22</v>
      </c>
      <c r="C136" s="125" t="s">
        <v>1566</v>
      </c>
      <c r="D136" s="123">
        <v>406.0</v>
      </c>
      <c r="E136" s="121">
        <f t="shared" si="1"/>
        <v>324.8</v>
      </c>
    </row>
    <row r="137" ht="15.75" customHeight="1">
      <c r="A137" s="13" t="s">
        <v>502</v>
      </c>
      <c r="B137" s="13" t="s">
        <v>24</v>
      </c>
      <c r="C137" s="125" t="s">
        <v>1566</v>
      </c>
      <c r="D137" s="123">
        <v>669.0</v>
      </c>
      <c r="E137" s="121">
        <f t="shared" si="1"/>
        <v>535.2</v>
      </c>
    </row>
    <row r="138" ht="15.75" customHeight="1">
      <c r="A138" s="13" t="s">
        <v>1567</v>
      </c>
      <c r="B138" s="9" t="s">
        <v>11</v>
      </c>
      <c r="C138" s="13" t="s">
        <v>1568</v>
      </c>
      <c r="D138" s="124">
        <v>69.0</v>
      </c>
      <c r="E138" s="121">
        <f t="shared" si="1"/>
        <v>55.2</v>
      </c>
    </row>
    <row r="139" ht="15.75" customHeight="1">
      <c r="A139" s="13" t="s">
        <v>1569</v>
      </c>
      <c r="B139" s="9" t="s">
        <v>15</v>
      </c>
      <c r="C139" s="13" t="s">
        <v>1568</v>
      </c>
      <c r="D139" s="124">
        <v>138.0</v>
      </c>
      <c r="E139" s="121">
        <f t="shared" si="1"/>
        <v>110.4</v>
      </c>
    </row>
    <row r="140" ht="15.75" customHeight="1">
      <c r="A140" s="13" t="s">
        <v>1570</v>
      </c>
      <c r="B140" s="9" t="s">
        <v>17</v>
      </c>
      <c r="C140" s="13" t="s">
        <v>1568</v>
      </c>
      <c r="D140" s="124">
        <v>276.0</v>
      </c>
      <c r="E140" s="121">
        <f t="shared" si="1"/>
        <v>220.8</v>
      </c>
    </row>
    <row r="141" ht="15.75" customHeight="1">
      <c r="A141" s="13" t="s">
        <v>1571</v>
      </c>
      <c r="B141" s="13" t="s">
        <v>19</v>
      </c>
      <c r="C141" s="13" t="s">
        <v>1568</v>
      </c>
      <c r="D141" s="124">
        <v>109.0</v>
      </c>
      <c r="E141" s="121">
        <f t="shared" si="1"/>
        <v>87.2</v>
      </c>
    </row>
    <row r="142" ht="15.75" customHeight="1">
      <c r="A142" s="13" t="s">
        <v>1572</v>
      </c>
      <c r="B142" s="13" t="s">
        <v>22</v>
      </c>
      <c r="C142" s="13" t="s">
        <v>1568</v>
      </c>
      <c r="D142" s="124">
        <v>185.0</v>
      </c>
      <c r="E142" s="121">
        <f t="shared" si="1"/>
        <v>148</v>
      </c>
    </row>
    <row r="143" ht="15.75" customHeight="1">
      <c r="A143" s="13" t="s">
        <v>1573</v>
      </c>
      <c r="B143" s="13" t="s">
        <v>24</v>
      </c>
      <c r="C143" s="13" t="s">
        <v>1568</v>
      </c>
      <c r="D143" s="124">
        <v>305.0</v>
      </c>
      <c r="E143" s="121">
        <f t="shared" si="1"/>
        <v>244</v>
      </c>
    </row>
    <row r="144" ht="15.75" customHeight="1">
      <c r="A144" s="9" t="s">
        <v>1574</v>
      </c>
      <c r="B144" s="10" t="s">
        <v>1575</v>
      </c>
      <c r="C144" s="9" t="s">
        <v>1576</v>
      </c>
      <c r="D144" s="120">
        <v>179.0</v>
      </c>
      <c r="E144" s="121">
        <f t="shared" si="1"/>
        <v>143.2</v>
      </c>
    </row>
    <row r="145" ht="15.75" customHeight="1">
      <c r="A145" s="9" t="s">
        <v>1577</v>
      </c>
      <c r="B145" s="10" t="s">
        <v>1578</v>
      </c>
      <c r="C145" s="9" t="s">
        <v>1576</v>
      </c>
      <c r="D145" s="120">
        <v>329.0</v>
      </c>
      <c r="E145" s="121">
        <f t="shared" si="1"/>
        <v>263.2</v>
      </c>
    </row>
    <row r="146" ht="15.75" customHeight="1">
      <c r="A146" s="13" t="s">
        <v>163</v>
      </c>
      <c r="B146" s="9" t="s">
        <v>11</v>
      </c>
      <c r="C146" s="9" t="s">
        <v>1579</v>
      </c>
      <c r="D146" s="124">
        <v>49.0</v>
      </c>
      <c r="E146" s="121">
        <f t="shared" si="1"/>
        <v>39.2</v>
      </c>
    </row>
    <row r="147" ht="15.75" customHeight="1">
      <c r="A147" s="13" t="s">
        <v>165</v>
      </c>
      <c r="B147" s="9" t="s">
        <v>15</v>
      </c>
      <c r="C147" s="9" t="s">
        <v>1579</v>
      </c>
      <c r="D147" s="124">
        <v>98.0</v>
      </c>
      <c r="E147" s="121">
        <f t="shared" si="1"/>
        <v>78.4</v>
      </c>
    </row>
    <row r="148" ht="15.75" customHeight="1">
      <c r="A148" s="13" t="s">
        <v>166</v>
      </c>
      <c r="B148" s="9" t="s">
        <v>17</v>
      </c>
      <c r="C148" s="9" t="s">
        <v>1579</v>
      </c>
      <c r="D148" s="124">
        <v>196.0</v>
      </c>
      <c r="E148" s="121">
        <f t="shared" si="1"/>
        <v>156.8</v>
      </c>
    </row>
    <row r="149" ht="15.75" customHeight="1">
      <c r="A149" s="13" t="s">
        <v>167</v>
      </c>
      <c r="B149" s="13" t="s">
        <v>19</v>
      </c>
      <c r="C149" s="9" t="s">
        <v>1579</v>
      </c>
      <c r="D149" s="124">
        <v>59.0</v>
      </c>
      <c r="E149" s="121">
        <f t="shared" si="1"/>
        <v>47.2</v>
      </c>
    </row>
    <row r="150" ht="15.75" customHeight="1">
      <c r="A150" s="13" t="s">
        <v>169</v>
      </c>
      <c r="B150" s="13" t="s">
        <v>22</v>
      </c>
      <c r="C150" s="9" t="s">
        <v>1579</v>
      </c>
      <c r="D150" s="124">
        <v>100.0</v>
      </c>
      <c r="E150" s="121">
        <f t="shared" si="1"/>
        <v>80</v>
      </c>
    </row>
    <row r="151" ht="15.75" customHeight="1">
      <c r="A151" s="13" t="s">
        <v>170</v>
      </c>
      <c r="B151" s="13" t="s">
        <v>24</v>
      </c>
      <c r="C151" s="9" t="s">
        <v>1579</v>
      </c>
      <c r="D151" s="124">
        <v>165.0</v>
      </c>
      <c r="E151" s="121">
        <f t="shared" si="1"/>
        <v>132</v>
      </c>
    </row>
    <row r="152" ht="15.75" customHeight="1">
      <c r="A152" s="13" t="s">
        <v>495</v>
      </c>
      <c r="B152" s="13" t="s">
        <v>11</v>
      </c>
      <c r="C152" s="9" t="s">
        <v>1580</v>
      </c>
      <c r="D152" s="124">
        <v>199.0</v>
      </c>
      <c r="E152" s="121">
        <f t="shared" si="1"/>
        <v>159.2</v>
      </c>
    </row>
    <row r="153" ht="15.75" customHeight="1">
      <c r="A153" s="13" t="s">
        <v>497</v>
      </c>
      <c r="B153" s="13" t="s">
        <v>15</v>
      </c>
      <c r="C153" s="9" t="s">
        <v>1580</v>
      </c>
      <c r="D153" s="124">
        <v>398.0</v>
      </c>
      <c r="E153" s="121">
        <f t="shared" si="1"/>
        <v>318.4</v>
      </c>
    </row>
    <row r="154" ht="15.75" customHeight="1">
      <c r="A154" s="13" t="s">
        <v>498</v>
      </c>
      <c r="B154" s="13" t="s">
        <v>17</v>
      </c>
      <c r="C154" s="9" t="s">
        <v>1580</v>
      </c>
      <c r="D154" s="124">
        <v>796.0</v>
      </c>
      <c r="E154" s="121">
        <f t="shared" si="1"/>
        <v>636.8</v>
      </c>
    </row>
    <row r="155" ht="15.75" customHeight="1">
      <c r="A155" s="13" t="s">
        <v>499</v>
      </c>
      <c r="B155" s="9" t="s">
        <v>19</v>
      </c>
      <c r="C155" s="9" t="s">
        <v>1580</v>
      </c>
      <c r="D155" s="124">
        <v>239.0</v>
      </c>
      <c r="E155" s="121">
        <f t="shared" si="1"/>
        <v>191.2</v>
      </c>
    </row>
    <row r="156" ht="15.75" customHeight="1">
      <c r="A156" s="13" t="s">
        <v>501</v>
      </c>
      <c r="B156" s="9" t="s">
        <v>22</v>
      </c>
      <c r="C156" s="9" t="s">
        <v>1580</v>
      </c>
      <c r="D156" s="124">
        <v>406.0</v>
      </c>
      <c r="E156" s="121">
        <f t="shared" si="1"/>
        <v>324.8</v>
      </c>
    </row>
    <row r="157" ht="15.75" customHeight="1">
      <c r="A157" s="38" t="s">
        <v>502</v>
      </c>
      <c r="B157" s="9" t="s">
        <v>24</v>
      </c>
      <c r="C157" s="9" t="s">
        <v>1580</v>
      </c>
      <c r="D157" s="124">
        <v>669.0</v>
      </c>
      <c r="E157" s="121">
        <f t="shared" si="1"/>
        <v>535.2</v>
      </c>
    </row>
    <row r="158" ht="15.75" customHeight="1">
      <c r="A158" s="9" t="s">
        <v>858</v>
      </c>
      <c r="B158" s="9" t="s">
        <v>859</v>
      </c>
      <c r="C158" s="9" t="s">
        <v>1581</v>
      </c>
      <c r="D158" s="124">
        <v>99.0</v>
      </c>
      <c r="E158" s="121">
        <f t="shared" si="1"/>
        <v>79.2</v>
      </c>
    </row>
    <row r="159" ht="15.75" customHeight="1">
      <c r="A159" s="9" t="s">
        <v>861</v>
      </c>
      <c r="B159" s="9" t="s">
        <v>862</v>
      </c>
      <c r="C159" s="9" t="s">
        <v>1581</v>
      </c>
      <c r="D159" s="124">
        <v>189.0</v>
      </c>
      <c r="E159" s="121">
        <f t="shared" si="1"/>
        <v>151.2</v>
      </c>
    </row>
    <row r="160" ht="15.75" customHeight="1">
      <c r="A160" s="9" t="s">
        <v>1582</v>
      </c>
      <c r="B160" s="9" t="s">
        <v>256</v>
      </c>
      <c r="C160" s="13" t="s">
        <v>1583</v>
      </c>
      <c r="D160" s="124">
        <v>149.0</v>
      </c>
      <c r="E160" s="121">
        <f t="shared" si="1"/>
        <v>119.2</v>
      </c>
    </row>
    <row r="161" ht="15.75" customHeight="1">
      <c r="A161" s="9" t="s">
        <v>1584</v>
      </c>
      <c r="B161" s="9" t="s">
        <v>259</v>
      </c>
      <c r="C161" s="13" t="s">
        <v>1583</v>
      </c>
      <c r="D161" s="124">
        <v>289.0</v>
      </c>
      <c r="E161" s="121">
        <f t="shared" si="1"/>
        <v>231.2</v>
      </c>
    </row>
    <row r="162" ht="15.75" customHeight="1">
      <c r="A162" s="9" t="s">
        <v>690</v>
      </c>
      <c r="B162" s="9" t="s">
        <v>732</v>
      </c>
      <c r="C162" s="13" t="s">
        <v>1585</v>
      </c>
      <c r="D162" s="124">
        <v>49.0</v>
      </c>
      <c r="E162" s="121">
        <f t="shared" si="1"/>
        <v>39.2</v>
      </c>
    </row>
    <row r="163" ht="15.75" customHeight="1">
      <c r="A163" s="9" t="s">
        <v>693</v>
      </c>
      <c r="B163" s="9" t="s">
        <v>735</v>
      </c>
      <c r="C163" s="13" t="s">
        <v>1585</v>
      </c>
      <c r="D163" s="124">
        <v>98.0</v>
      </c>
      <c r="E163" s="121">
        <f t="shared" si="1"/>
        <v>78.4</v>
      </c>
    </row>
    <row r="164" ht="15.75" customHeight="1">
      <c r="A164" s="13" t="s">
        <v>419</v>
      </c>
      <c r="B164" s="9" t="s">
        <v>69</v>
      </c>
      <c r="C164" s="13" t="s">
        <v>1585</v>
      </c>
      <c r="D164" s="123">
        <v>199.0</v>
      </c>
      <c r="E164" s="121">
        <f t="shared" si="1"/>
        <v>159.2</v>
      </c>
    </row>
    <row r="165" ht="15.75" customHeight="1">
      <c r="A165" s="13" t="s">
        <v>421</v>
      </c>
      <c r="B165" s="9" t="s">
        <v>72</v>
      </c>
      <c r="C165" s="13" t="s">
        <v>1585</v>
      </c>
      <c r="D165" s="123">
        <v>339.0</v>
      </c>
      <c r="E165" s="121">
        <f t="shared" si="1"/>
        <v>271.2</v>
      </c>
    </row>
    <row r="166" ht="15.75" customHeight="1">
      <c r="A166" s="13" t="s">
        <v>422</v>
      </c>
      <c r="B166" s="9" t="s">
        <v>74</v>
      </c>
      <c r="C166" s="13" t="s">
        <v>1585</v>
      </c>
      <c r="D166" s="123">
        <v>558.0</v>
      </c>
      <c r="E166" s="121">
        <f t="shared" si="1"/>
        <v>446.4</v>
      </c>
    </row>
    <row r="167" ht="15.75" customHeight="1">
      <c r="A167" s="9" t="s">
        <v>1586</v>
      </c>
      <c r="B167" s="9" t="s">
        <v>256</v>
      </c>
      <c r="C167" s="13" t="s">
        <v>1587</v>
      </c>
      <c r="D167" s="124">
        <v>139.0</v>
      </c>
      <c r="E167" s="121">
        <f t="shared" si="1"/>
        <v>111.2</v>
      </c>
    </row>
    <row r="168" ht="15.75" customHeight="1">
      <c r="A168" s="9" t="s">
        <v>1588</v>
      </c>
      <c r="B168" s="9" t="s">
        <v>259</v>
      </c>
      <c r="C168" s="13" t="s">
        <v>1587</v>
      </c>
      <c r="D168" s="124">
        <v>249.0</v>
      </c>
      <c r="E168" s="121">
        <f t="shared" si="1"/>
        <v>199.2</v>
      </c>
    </row>
    <row r="169" ht="15.75" customHeight="1">
      <c r="A169" s="13" t="s">
        <v>1589</v>
      </c>
      <c r="B169" s="13" t="s">
        <v>256</v>
      </c>
      <c r="C169" s="13" t="s">
        <v>1590</v>
      </c>
      <c r="D169" s="121">
        <v>35.0</v>
      </c>
      <c r="E169" s="121">
        <f t="shared" si="1"/>
        <v>28</v>
      </c>
    </row>
    <row r="170" ht="15.75" customHeight="1">
      <c r="A170" s="13" t="s">
        <v>1591</v>
      </c>
      <c r="B170" s="13" t="s">
        <v>259</v>
      </c>
      <c r="C170" s="13" t="s">
        <v>1590</v>
      </c>
      <c r="D170" s="121">
        <v>65.0</v>
      </c>
      <c r="E170" s="121">
        <f t="shared" si="1"/>
        <v>52</v>
      </c>
    </row>
    <row r="171" ht="15.75" customHeight="1">
      <c r="A171" s="13" t="s">
        <v>829</v>
      </c>
      <c r="B171" s="13" t="s">
        <v>69</v>
      </c>
      <c r="C171" s="13" t="s">
        <v>1590</v>
      </c>
      <c r="D171" s="121">
        <v>69.0</v>
      </c>
      <c r="E171" s="121">
        <f t="shared" si="1"/>
        <v>55.2</v>
      </c>
    </row>
    <row r="172" ht="15.75" customHeight="1">
      <c r="A172" s="13" t="s">
        <v>831</v>
      </c>
      <c r="B172" s="13" t="s">
        <v>72</v>
      </c>
      <c r="C172" s="13" t="s">
        <v>1590</v>
      </c>
      <c r="D172" s="121">
        <v>118.0</v>
      </c>
      <c r="E172" s="121">
        <f t="shared" si="1"/>
        <v>94.4</v>
      </c>
    </row>
    <row r="173" ht="15.75" customHeight="1">
      <c r="A173" s="13" t="s">
        <v>832</v>
      </c>
      <c r="B173" s="13" t="s">
        <v>74</v>
      </c>
      <c r="C173" s="13" t="s">
        <v>1590</v>
      </c>
      <c r="D173" s="121">
        <v>194.0</v>
      </c>
      <c r="E173" s="121">
        <f t="shared" si="1"/>
        <v>155.2</v>
      </c>
    </row>
    <row r="174" ht="15.75" customHeight="1">
      <c r="A174" s="13" t="s">
        <v>1592</v>
      </c>
      <c r="B174" s="13" t="s">
        <v>256</v>
      </c>
      <c r="C174" s="13" t="s">
        <v>1593</v>
      </c>
      <c r="D174" s="121">
        <v>499.0</v>
      </c>
      <c r="E174" s="121">
        <f t="shared" si="1"/>
        <v>399.2</v>
      </c>
    </row>
    <row r="175" ht="15.75" customHeight="1">
      <c r="A175" s="13" t="s">
        <v>1594</v>
      </c>
      <c r="B175" s="13" t="s">
        <v>259</v>
      </c>
      <c r="C175" s="13" t="s">
        <v>1593</v>
      </c>
      <c r="D175" s="121">
        <v>959.0</v>
      </c>
      <c r="E175" s="121">
        <f t="shared" si="1"/>
        <v>767.2</v>
      </c>
    </row>
    <row r="176" ht="15.75" customHeight="1">
      <c r="A176" s="13" t="s">
        <v>1595</v>
      </c>
      <c r="B176" s="13" t="s">
        <v>69</v>
      </c>
      <c r="C176" s="13" t="s">
        <v>1593</v>
      </c>
      <c r="D176" s="121">
        <v>729.0</v>
      </c>
      <c r="E176" s="121">
        <f t="shared" si="1"/>
        <v>583.2</v>
      </c>
    </row>
    <row r="177" ht="15.75" customHeight="1">
      <c r="A177" s="13" t="s">
        <v>1596</v>
      </c>
      <c r="B177" s="13" t="s">
        <v>72</v>
      </c>
      <c r="C177" s="13" t="s">
        <v>1593</v>
      </c>
      <c r="D177" s="121">
        <v>1239.0</v>
      </c>
      <c r="E177" s="121">
        <f t="shared" si="1"/>
        <v>991.2</v>
      </c>
    </row>
    <row r="178" ht="15.75" customHeight="1">
      <c r="A178" s="13" t="s">
        <v>1597</v>
      </c>
      <c r="B178" s="13" t="s">
        <v>74</v>
      </c>
      <c r="C178" s="13" t="s">
        <v>1593</v>
      </c>
      <c r="D178" s="121">
        <v>2041.0</v>
      </c>
      <c r="E178" s="121">
        <f t="shared" si="1"/>
        <v>1632.8</v>
      </c>
    </row>
    <row r="179" ht="15.75" customHeight="1">
      <c r="A179" s="7" t="s">
        <v>1598</v>
      </c>
      <c r="B179" s="9" t="s">
        <v>256</v>
      </c>
      <c r="C179" s="13" t="s">
        <v>1599</v>
      </c>
      <c r="D179" s="121">
        <v>259.0</v>
      </c>
      <c r="E179" s="121">
        <f t="shared" si="1"/>
        <v>207.2</v>
      </c>
    </row>
    <row r="180" ht="15.75" customHeight="1">
      <c r="A180" s="7" t="s">
        <v>1600</v>
      </c>
      <c r="B180" s="9" t="s">
        <v>259</v>
      </c>
      <c r="C180" s="13" t="s">
        <v>1599</v>
      </c>
      <c r="D180" s="121">
        <v>499.0</v>
      </c>
      <c r="E180" s="121">
        <f t="shared" si="1"/>
        <v>399.2</v>
      </c>
    </row>
    <row r="181" ht="15.75" customHeight="1">
      <c r="A181" s="13" t="s">
        <v>1601</v>
      </c>
      <c r="B181" s="13" t="s">
        <v>69</v>
      </c>
      <c r="C181" s="13" t="s">
        <v>1599</v>
      </c>
      <c r="D181" s="121">
        <v>379.0</v>
      </c>
      <c r="E181" s="121">
        <f t="shared" si="1"/>
        <v>303.2</v>
      </c>
    </row>
    <row r="182" ht="15.75" customHeight="1">
      <c r="A182" s="13" t="s">
        <v>1602</v>
      </c>
      <c r="B182" s="13" t="s">
        <v>72</v>
      </c>
      <c r="C182" s="13" t="s">
        <v>1599</v>
      </c>
      <c r="D182" s="121">
        <v>644.0</v>
      </c>
      <c r="E182" s="121">
        <f t="shared" si="1"/>
        <v>515.2</v>
      </c>
    </row>
    <row r="183" ht="15.75" customHeight="1">
      <c r="A183" s="13" t="s">
        <v>1603</v>
      </c>
      <c r="B183" s="13" t="s">
        <v>74</v>
      </c>
      <c r="C183" s="13" t="s">
        <v>1599</v>
      </c>
      <c r="D183" s="121">
        <v>1061.0</v>
      </c>
      <c r="E183" s="121">
        <f t="shared" si="1"/>
        <v>848.8</v>
      </c>
    </row>
    <row r="184" ht="15.75" customHeight="1">
      <c r="A184" s="13" t="s">
        <v>1481</v>
      </c>
      <c r="B184" s="13" t="s">
        <v>69</v>
      </c>
      <c r="C184" s="13" t="s">
        <v>1482</v>
      </c>
      <c r="D184" s="121">
        <v>209.0</v>
      </c>
      <c r="E184" s="121">
        <f t="shared" si="1"/>
        <v>167.2</v>
      </c>
    </row>
    <row r="185" ht="15.75" customHeight="1">
      <c r="A185" s="13" t="s">
        <v>1483</v>
      </c>
      <c r="B185" s="13" t="s">
        <v>72</v>
      </c>
      <c r="C185" s="13" t="s">
        <v>1604</v>
      </c>
      <c r="D185" s="121">
        <v>355.0</v>
      </c>
      <c r="E185" s="121">
        <f t="shared" si="1"/>
        <v>284</v>
      </c>
    </row>
    <row r="186" ht="15.75" customHeight="1">
      <c r="A186" s="13" t="s">
        <v>1484</v>
      </c>
      <c r="B186" s="13" t="s">
        <v>74</v>
      </c>
      <c r="C186" s="13" t="s">
        <v>1605</v>
      </c>
      <c r="D186" s="121">
        <v>585.0</v>
      </c>
      <c r="E186" s="121">
        <f t="shared" si="1"/>
        <v>468</v>
      </c>
    </row>
    <row r="187" ht="15.75" customHeight="1">
      <c r="A187" s="9" t="s">
        <v>1485</v>
      </c>
      <c r="B187" s="9" t="s">
        <v>256</v>
      </c>
      <c r="C187" s="13" t="s">
        <v>1606</v>
      </c>
      <c r="D187" s="121">
        <v>139.0</v>
      </c>
      <c r="E187" s="121">
        <f t="shared" si="1"/>
        <v>111.2</v>
      </c>
    </row>
    <row r="188" ht="15.75" customHeight="1">
      <c r="A188" s="9" t="s">
        <v>1486</v>
      </c>
      <c r="B188" s="9" t="s">
        <v>259</v>
      </c>
      <c r="C188" s="13" t="s">
        <v>1607</v>
      </c>
      <c r="D188" s="121">
        <v>259.0</v>
      </c>
      <c r="E188" s="121">
        <f t="shared" si="1"/>
        <v>207.2</v>
      </c>
    </row>
    <row r="189" ht="15.75" customHeight="1">
      <c r="A189" s="9" t="s">
        <v>621</v>
      </c>
      <c r="B189" s="9" t="s">
        <v>1487</v>
      </c>
      <c r="C189" s="13" t="s">
        <v>1608</v>
      </c>
      <c r="D189" s="121">
        <v>99.0</v>
      </c>
      <c r="E189" s="121">
        <f t="shared" si="1"/>
        <v>79.2</v>
      </c>
    </row>
    <row r="190" ht="15.75" customHeight="1">
      <c r="A190" s="9" t="s">
        <v>731</v>
      </c>
      <c r="B190" s="9" t="s">
        <v>732</v>
      </c>
      <c r="C190" s="13" t="s">
        <v>1609</v>
      </c>
      <c r="D190" s="121">
        <v>29.0</v>
      </c>
      <c r="E190" s="121">
        <f t="shared" si="1"/>
        <v>23.2</v>
      </c>
    </row>
    <row r="191" ht="15.75" customHeight="1">
      <c r="A191" s="9" t="s">
        <v>734</v>
      </c>
      <c r="B191" s="9" t="s">
        <v>735</v>
      </c>
      <c r="C191" s="13" t="s">
        <v>1610</v>
      </c>
      <c r="D191" s="121">
        <v>49.0</v>
      </c>
      <c r="E191" s="121">
        <f t="shared" si="1"/>
        <v>39.2</v>
      </c>
    </row>
    <row r="192" ht="15.75" customHeight="1">
      <c r="A192" s="9" t="s">
        <v>33</v>
      </c>
      <c r="B192" s="9" t="s">
        <v>34</v>
      </c>
      <c r="C192" s="13" t="s">
        <v>1611</v>
      </c>
      <c r="D192" s="121">
        <v>200.0</v>
      </c>
      <c r="E192" s="121">
        <f t="shared" si="1"/>
        <v>160</v>
      </c>
    </row>
    <row r="193" ht="15.75" customHeight="1">
      <c r="A193" s="7" t="s">
        <v>1488</v>
      </c>
      <c r="B193" s="7" t="s">
        <v>1489</v>
      </c>
      <c r="C193" s="13" t="s">
        <v>1612</v>
      </c>
      <c r="D193" s="121">
        <v>99.0</v>
      </c>
      <c r="E193" s="121">
        <f t="shared" si="1"/>
        <v>79.2</v>
      </c>
    </row>
    <row r="194" ht="15.75" customHeight="1">
      <c r="A194" s="13" t="s">
        <v>171</v>
      </c>
      <c r="B194" s="7" t="s">
        <v>11</v>
      </c>
      <c r="C194" s="13" t="s">
        <v>1613</v>
      </c>
      <c r="D194" s="121">
        <v>99.0</v>
      </c>
      <c r="E194" s="121">
        <f t="shared" si="1"/>
        <v>79.2</v>
      </c>
    </row>
    <row r="195" ht="15.75" customHeight="1">
      <c r="A195" s="13" t="s">
        <v>173</v>
      </c>
      <c r="B195" s="7" t="s">
        <v>15</v>
      </c>
      <c r="C195" s="13" t="s">
        <v>1613</v>
      </c>
      <c r="D195" s="121">
        <v>198.0</v>
      </c>
      <c r="E195" s="121">
        <f t="shared" si="1"/>
        <v>158.4</v>
      </c>
    </row>
    <row r="196" ht="15.75" customHeight="1">
      <c r="A196" s="13" t="s">
        <v>174</v>
      </c>
      <c r="B196" s="7" t="s">
        <v>17</v>
      </c>
      <c r="C196" s="13" t="s">
        <v>1613</v>
      </c>
      <c r="D196" s="121">
        <v>396.0</v>
      </c>
      <c r="E196" s="121">
        <f t="shared" si="1"/>
        <v>316.8</v>
      </c>
    </row>
    <row r="197" ht="15.75" customHeight="1">
      <c r="A197" s="13" t="s">
        <v>175</v>
      </c>
      <c r="B197" s="7" t="s">
        <v>19</v>
      </c>
      <c r="C197" s="13" t="s">
        <v>1613</v>
      </c>
      <c r="D197" s="121">
        <v>119.0</v>
      </c>
      <c r="E197" s="121">
        <f t="shared" si="1"/>
        <v>95.2</v>
      </c>
    </row>
    <row r="198" ht="15.75" customHeight="1">
      <c r="A198" s="13" t="s">
        <v>177</v>
      </c>
      <c r="B198" s="7" t="s">
        <v>22</v>
      </c>
      <c r="C198" s="13" t="s">
        <v>1613</v>
      </c>
      <c r="D198" s="121">
        <v>202.0</v>
      </c>
      <c r="E198" s="121">
        <f t="shared" si="1"/>
        <v>161.6</v>
      </c>
    </row>
    <row r="199" ht="15.75" customHeight="1">
      <c r="A199" s="13" t="s">
        <v>179</v>
      </c>
      <c r="B199" s="7" t="s">
        <v>24</v>
      </c>
      <c r="C199" s="13" t="s">
        <v>1613</v>
      </c>
      <c r="D199" s="121">
        <v>333.0</v>
      </c>
      <c r="E199" s="121">
        <f t="shared" si="1"/>
        <v>266.4</v>
      </c>
    </row>
    <row r="200" ht="15.75" customHeight="1">
      <c r="A200" s="13" t="s">
        <v>816</v>
      </c>
      <c r="B200" s="9" t="s">
        <v>256</v>
      </c>
      <c r="C200" s="9" t="s">
        <v>1614</v>
      </c>
      <c r="D200" s="121">
        <v>69.0</v>
      </c>
      <c r="E200" s="121">
        <f t="shared" si="1"/>
        <v>55.2</v>
      </c>
    </row>
    <row r="201" ht="15.75" customHeight="1">
      <c r="A201" s="13" t="s">
        <v>818</v>
      </c>
      <c r="B201" s="9" t="s">
        <v>259</v>
      </c>
      <c r="C201" s="9" t="s">
        <v>1614</v>
      </c>
      <c r="D201" s="121">
        <v>119.0</v>
      </c>
      <c r="E201" s="121">
        <f t="shared" si="1"/>
        <v>95.2</v>
      </c>
    </row>
    <row r="202" ht="15.75" customHeight="1">
      <c r="A202" s="13" t="s">
        <v>755</v>
      </c>
      <c r="B202" s="9" t="s">
        <v>69</v>
      </c>
      <c r="C202" s="9" t="s">
        <v>1614</v>
      </c>
      <c r="D202" s="121">
        <v>89.0</v>
      </c>
      <c r="E202" s="121">
        <f t="shared" si="1"/>
        <v>71.2</v>
      </c>
    </row>
    <row r="203" ht="15.75" customHeight="1">
      <c r="A203" s="13" t="s">
        <v>757</v>
      </c>
      <c r="B203" s="9" t="s">
        <v>72</v>
      </c>
      <c r="C203" s="9" t="s">
        <v>1614</v>
      </c>
      <c r="D203" s="121">
        <v>152.0</v>
      </c>
      <c r="E203" s="121">
        <f t="shared" si="1"/>
        <v>121.6</v>
      </c>
    </row>
    <row r="204" ht="15.75" customHeight="1">
      <c r="A204" s="13" t="s">
        <v>758</v>
      </c>
      <c r="B204" s="9" t="s">
        <v>74</v>
      </c>
      <c r="C204" s="9" t="s">
        <v>1614</v>
      </c>
      <c r="D204" s="121">
        <v>250.0</v>
      </c>
      <c r="E204" s="121">
        <f t="shared" si="1"/>
        <v>200</v>
      </c>
    </row>
    <row r="205" ht="15.75" customHeight="1">
      <c r="A205" s="9" t="s">
        <v>731</v>
      </c>
      <c r="B205" s="9" t="s">
        <v>732</v>
      </c>
      <c r="C205" s="9" t="s">
        <v>1614</v>
      </c>
      <c r="D205" s="121">
        <v>29.0</v>
      </c>
      <c r="E205" s="121">
        <f t="shared" si="1"/>
        <v>23.2</v>
      </c>
    </row>
    <row r="206" ht="15.75" customHeight="1">
      <c r="A206" s="9" t="s">
        <v>734</v>
      </c>
      <c r="B206" s="9" t="s">
        <v>735</v>
      </c>
      <c r="C206" s="9" t="s">
        <v>1614</v>
      </c>
      <c r="D206" s="121">
        <v>49.0</v>
      </c>
      <c r="E206" s="121">
        <f t="shared" si="1"/>
        <v>39.2</v>
      </c>
    </row>
    <row r="207" ht="15.75" customHeight="1">
      <c r="A207" s="9" t="s">
        <v>163</v>
      </c>
      <c r="B207" s="9" t="s">
        <v>11</v>
      </c>
      <c r="C207" s="9" t="s">
        <v>1615</v>
      </c>
      <c r="D207" s="121">
        <v>49.0</v>
      </c>
      <c r="E207" s="121">
        <v>39.2</v>
      </c>
    </row>
    <row r="208" ht="15.75" customHeight="1">
      <c r="A208" s="9" t="s">
        <v>165</v>
      </c>
      <c r="B208" s="9" t="s">
        <v>15</v>
      </c>
      <c r="C208" s="9" t="s">
        <v>1615</v>
      </c>
      <c r="D208" s="121">
        <v>98.0</v>
      </c>
      <c r="E208" s="121">
        <v>78.4</v>
      </c>
    </row>
    <row r="209" ht="15.75" customHeight="1">
      <c r="A209" s="9" t="s">
        <v>166</v>
      </c>
      <c r="B209" s="9" t="s">
        <v>17</v>
      </c>
      <c r="C209" s="9" t="s">
        <v>1615</v>
      </c>
      <c r="D209" s="121">
        <v>196.0</v>
      </c>
      <c r="E209" s="121">
        <v>156.8</v>
      </c>
    </row>
    <row r="210" ht="15.75" customHeight="1">
      <c r="A210" s="9" t="s">
        <v>167</v>
      </c>
      <c r="B210" s="13" t="s">
        <v>19</v>
      </c>
      <c r="C210" s="9" t="s">
        <v>1615</v>
      </c>
      <c r="D210" s="121">
        <v>59.0</v>
      </c>
      <c r="E210" s="121">
        <v>47.2</v>
      </c>
    </row>
    <row r="211" ht="15.75" customHeight="1">
      <c r="A211" s="9" t="s">
        <v>169</v>
      </c>
      <c r="B211" s="13" t="s">
        <v>22</v>
      </c>
      <c r="C211" s="9" t="s">
        <v>1615</v>
      </c>
      <c r="D211" s="121">
        <v>100.0</v>
      </c>
      <c r="E211" s="121">
        <v>80.0</v>
      </c>
    </row>
    <row r="212" ht="15.75" customHeight="1">
      <c r="A212" s="9" t="s">
        <v>170</v>
      </c>
      <c r="B212" s="13" t="s">
        <v>24</v>
      </c>
      <c r="C212" s="9" t="s">
        <v>1615</v>
      </c>
      <c r="D212" s="121">
        <v>165.0</v>
      </c>
      <c r="E212" s="121">
        <v>132.0</v>
      </c>
    </row>
    <row r="213" ht="15.75" customHeight="1">
      <c r="A213" s="9" t="s">
        <v>33</v>
      </c>
      <c r="B213" s="9" t="s">
        <v>34</v>
      </c>
      <c r="C213" s="9" t="s">
        <v>1615</v>
      </c>
      <c r="D213" s="121">
        <v>200.0</v>
      </c>
      <c r="E213" s="121">
        <v>160.0</v>
      </c>
    </row>
    <row r="214" ht="15.75" customHeight="1">
      <c r="A214" s="9" t="s">
        <v>36</v>
      </c>
      <c r="B214" s="9" t="s">
        <v>108</v>
      </c>
      <c r="C214" s="9" t="s">
        <v>1615</v>
      </c>
      <c r="D214" s="121">
        <v>400.0</v>
      </c>
      <c r="E214" s="121">
        <v>320.0</v>
      </c>
    </row>
    <row r="215" ht="15.75" customHeight="1">
      <c r="A215" s="9" t="s">
        <v>38</v>
      </c>
      <c r="B215" s="9" t="s">
        <v>110</v>
      </c>
      <c r="C215" s="9" t="s">
        <v>1615</v>
      </c>
      <c r="D215" s="121">
        <v>600.0</v>
      </c>
      <c r="E215" s="121">
        <v>480.0</v>
      </c>
    </row>
    <row r="216" ht="15.75" customHeight="1">
      <c r="A216" s="9" t="s">
        <v>621</v>
      </c>
      <c r="B216" s="9" t="s">
        <v>1529</v>
      </c>
      <c r="C216" s="9" t="s">
        <v>1615</v>
      </c>
      <c r="D216" s="121">
        <v>99.0</v>
      </c>
      <c r="E216" s="121">
        <v>79.2</v>
      </c>
    </row>
    <row r="217" ht="15.75" customHeight="1">
      <c r="A217" s="9" t="s">
        <v>1616</v>
      </c>
      <c r="B217" s="9" t="s">
        <v>231</v>
      </c>
      <c r="C217" s="9" t="s">
        <v>1617</v>
      </c>
      <c r="D217" s="121">
        <v>50.0</v>
      </c>
      <c r="E217" s="121">
        <f t="shared" ref="E217:E454" si="2">SUM(D217*0.8)</f>
        <v>40</v>
      </c>
    </row>
    <row r="218" ht="15.75" customHeight="1">
      <c r="A218" s="9" t="s">
        <v>1618</v>
      </c>
      <c r="B218" s="9" t="s">
        <v>1619</v>
      </c>
      <c r="C218" s="9" t="s">
        <v>1617</v>
      </c>
      <c r="D218" s="121">
        <v>99.0</v>
      </c>
      <c r="E218" s="121">
        <f t="shared" si="2"/>
        <v>79.2</v>
      </c>
    </row>
    <row r="219" ht="15.75" customHeight="1">
      <c r="A219" s="9" t="s">
        <v>621</v>
      </c>
      <c r="B219" s="9" t="s">
        <v>1462</v>
      </c>
      <c r="C219" s="9" t="s">
        <v>1617</v>
      </c>
      <c r="D219" s="121">
        <v>99.0</v>
      </c>
      <c r="E219" s="121">
        <f t="shared" si="2"/>
        <v>79.2</v>
      </c>
    </row>
    <row r="220" ht="15.75" customHeight="1">
      <c r="A220" s="9" t="s">
        <v>1620</v>
      </c>
      <c r="B220" s="9" t="s">
        <v>1621</v>
      </c>
      <c r="C220" s="9" t="s">
        <v>1617</v>
      </c>
      <c r="D220" s="121">
        <v>600.0</v>
      </c>
      <c r="E220" s="121">
        <f t="shared" si="2"/>
        <v>480</v>
      </c>
    </row>
    <row r="221" ht="15.75" customHeight="1">
      <c r="A221" s="9" t="s">
        <v>1622</v>
      </c>
      <c r="B221" s="9" t="s">
        <v>76</v>
      </c>
      <c r="C221" s="9" t="s">
        <v>1617</v>
      </c>
      <c r="D221" s="121">
        <v>59.0</v>
      </c>
      <c r="E221" s="121">
        <f t="shared" si="2"/>
        <v>47.2</v>
      </c>
    </row>
    <row r="222" ht="15.75" customHeight="1">
      <c r="A222" s="9" t="s">
        <v>1623</v>
      </c>
      <c r="B222" s="9" t="s">
        <v>79</v>
      </c>
      <c r="C222" s="9" t="s">
        <v>1617</v>
      </c>
      <c r="D222" s="121">
        <v>99.0</v>
      </c>
      <c r="E222" s="121">
        <f t="shared" si="2"/>
        <v>79.2</v>
      </c>
    </row>
    <row r="223" ht="15.75" customHeight="1">
      <c r="A223" s="13" t="s">
        <v>755</v>
      </c>
      <c r="B223" s="9" t="s">
        <v>69</v>
      </c>
      <c r="C223" s="9" t="s">
        <v>1617</v>
      </c>
      <c r="D223" s="121">
        <v>89.0</v>
      </c>
      <c r="E223" s="121">
        <f t="shared" si="2"/>
        <v>71.2</v>
      </c>
    </row>
    <row r="224" ht="15.75" customHeight="1">
      <c r="A224" s="13" t="s">
        <v>757</v>
      </c>
      <c r="B224" s="9" t="s">
        <v>72</v>
      </c>
      <c r="C224" s="9" t="s">
        <v>1617</v>
      </c>
      <c r="D224" s="121">
        <v>152.0</v>
      </c>
      <c r="E224" s="121">
        <f t="shared" si="2"/>
        <v>121.6</v>
      </c>
    </row>
    <row r="225" ht="15.75" customHeight="1">
      <c r="A225" s="13" t="s">
        <v>758</v>
      </c>
      <c r="B225" s="9" t="s">
        <v>74</v>
      </c>
      <c r="C225" s="9" t="s">
        <v>1617</v>
      </c>
      <c r="D225" s="121">
        <v>250.0</v>
      </c>
      <c r="E225" s="121">
        <f t="shared" si="2"/>
        <v>200</v>
      </c>
    </row>
    <row r="226" ht="15.75" customHeight="1">
      <c r="A226" s="9" t="s">
        <v>731</v>
      </c>
      <c r="B226" s="9" t="s">
        <v>691</v>
      </c>
      <c r="C226" s="9" t="s">
        <v>1617</v>
      </c>
      <c r="D226" s="121">
        <v>29.0</v>
      </c>
      <c r="E226" s="121">
        <f t="shared" si="2"/>
        <v>23.2</v>
      </c>
    </row>
    <row r="227" ht="15.75" customHeight="1">
      <c r="A227" s="9" t="s">
        <v>734</v>
      </c>
      <c r="B227" s="9" t="s">
        <v>694</v>
      </c>
      <c r="C227" s="9" t="s">
        <v>1617</v>
      </c>
      <c r="D227" s="121">
        <v>49.0</v>
      </c>
      <c r="E227" s="121">
        <f t="shared" si="2"/>
        <v>39.2</v>
      </c>
    </row>
    <row r="228" ht="15.75" customHeight="1">
      <c r="A228" s="13" t="s">
        <v>171</v>
      </c>
      <c r="B228" s="13" t="s">
        <v>11</v>
      </c>
      <c r="C228" s="9" t="s">
        <v>1624</v>
      </c>
      <c r="D228" s="121">
        <v>99.0</v>
      </c>
      <c r="E228" s="121">
        <f t="shared" si="2"/>
        <v>79.2</v>
      </c>
    </row>
    <row r="229" ht="15.75" customHeight="1">
      <c r="A229" s="13" t="s">
        <v>173</v>
      </c>
      <c r="B229" s="13" t="s">
        <v>15</v>
      </c>
      <c r="C229" s="9" t="s">
        <v>1624</v>
      </c>
      <c r="D229" s="121">
        <v>198.0</v>
      </c>
      <c r="E229" s="121">
        <f t="shared" si="2"/>
        <v>158.4</v>
      </c>
    </row>
    <row r="230" ht="15.75" customHeight="1">
      <c r="A230" s="13" t="s">
        <v>174</v>
      </c>
      <c r="B230" s="13" t="s">
        <v>17</v>
      </c>
      <c r="C230" s="9" t="s">
        <v>1624</v>
      </c>
      <c r="D230" s="121">
        <v>396.0</v>
      </c>
      <c r="E230" s="121">
        <f t="shared" si="2"/>
        <v>316.8</v>
      </c>
    </row>
    <row r="231" ht="15.75" customHeight="1">
      <c r="A231" s="13" t="s">
        <v>175</v>
      </c>
      <c r="B231" s="13" t="s">
        <v>19</v>
      </c>
      <c r="C231" s="9" t="s">
        <v>1624</v>
      </c>
      <c r="D231" s="121">
        <v>119.0</v>
      </c>
      <c r="E231" s="121">
        <f t="shared" si="2"/>
        <v>95.2</v>
      </c>
    </row>
    <row r="232" ht="15.75" customHeight="1">
      <c r="A232" s="13" t="s">
        <v>177</v>
      </c>
      <c r="B232" s="13" t="s">
        <v>22</v>
      </c>
      <c r="C232" s="9" t="s">
        <v>1624</v>
      </c>
      <c r="D232" s="121">
        <v>202.0</v>
      </c>
      <c r="E232" s="121">
        <f t="shared" si="2"/>
        <v>161.6</v>
      </c>
    </row>
    <row r="233" ht="15.75" customHeight="1">
      <c r="A233" s="13" t="s">
        <v>179</v>
      </c>
      <c r="B233" s="13" t="s">
        <v>24</v>
      </c>
      <c r="C233" s="9" t="s">
        <v>1624</v>
      </c>
      <c r="D233" s="121">
        <v>333.0</v>
      </c>
      <c r="E233" s="121">
        <f t="shared" si="2"/>
        <v>266.4</v>
      </c>
    </row>
    <row r="234" ht="15.75" customHeight="1">
      <c r="A234" s="9" t="s">
        <v>33</v>
      </c>
      <c r="B234" s="9" t="s">
        <v>34</v>
      </c>
      <c r="C234" s="9" t="s">
        <v>1624</v>
      </c>
      <c r="D234" s="121">
        <v>200.0</v>
      </c>
      <c r="E234" s="121">
        <f t="shared" si="2"/>
        <v>160</v>
      </c>
    </row>
    <row r="235" ht="15.75" customHeight="1">
      <c r="A235" s="13" t="s">
        <v>36</v>
      </c>
      <c r="B235" s="13" t="s">
        <v>34</v>
      </c>
      <c r="C235" s="9" t="s">
        <v>1624</v>
      </c>
      <c r="D235" s="121">
        <v>400.0</v>
      </c>
      <c r="E235" s="121">
        <f t="shared" si="2"/>
        <v>320</v>
      </c>
    </row>
    <row r="236" ht="15.75" customHeight="1">
      <c r="A236" s="13" t="s">
        <v>38</v>
      </c>
      <c r="B236" s="13" t="s">
        <v>34</v>
      </c>
      <c r="C236" s="9" t="s">
        <v>1624</v>
      </c>
      <c r="D236" s="121">
        <v>600.0</v>
      </c>
      <c r="E236" s="121">
        <f t="shared" si="2"/>
        <v>480</v>
      </c>
    </row>
    <row r="237" ht="15.75" customHeight="1">
      <c r="A237" s="13" t="s">
        <v>1625</v>
      </c>
      <c r="B237" s="9" t="s">
        <v>76</v>
      </c>
      <c r="C237" s="9" t="s">
        <v>1626</v>
      </c>
      <c r="D237" s="121">
        <v>339.0</v>
      </c>
      <c r="E237" s="121">
        <f t="shared" si="2"/>
        <v>271.2</v>
      </c>
    </row>
    <row r="238" ht="15.75" customHeight="1">
      <c r="A238" s="13" t="s">
        <v>1627</v>
      </c>
      <c r="B238" s="9" t="s">
        <v>79</v>
      </c>
      <c r="C238" s="9" t="s">
        <v>1626</v>
      </c>
      <c r="D238" s="121">
        <v>659.0</v>
      </c>
      <c r="E238" s="121">
        <f t="shared" si="2"/>
        <v>527.2</v>
      </c>
    </row>
    <row r="239" ht="15.75" customHeight="1">
      <c r="A239" s="13" t="s">
        <v>1628</v>
      </c>
      <c r="B239" s="9" t="s">
        <v>69</v>
      </c>
      <c r="C239" s="9" t="s">
        <v>1626</v>
      </c>
      <c r="D239" s="121">
        <v>499.0</v>
      </c>
      <c r="E239" s="121">
        <f t="shared" si="2"/>
        <v>399.2</v>
      </c>
    </row>
    <row r="240" ht="15.75" customHeight="1">
      <c r="A240" s="13" t="s">
        <v>1629</v>
      </c>
      <c r="B240" s="9" t="s">
        <v>72</v>
      </c>
      <c r="C240" s="9" t="s">
        <v>1626</v>
      </c>
      <c r="D240" s="121">
        <v>848.0</v>
      </c>
      <c r="E240" s="121">
        <f t="shared" si="2"/>
        <v>678.4</v>
      </c>
    </row>
    <row r="241" ht="15.75" customHeight="1">
      <c r="A241" s="39" t="s">
        <v>1630</v>
      </c>
      <c r="B241" s="9" t="s">
        <v>74</v>
      </c>
      <c r="C241" s="9" t="s">
        <v>1626</v>
      </c>
      <c r="D241" s="121">
        <v>1397.0</v>
      </c>
      <c r="E241" s="121">
        <f t="shared" si="2"/>
        <v>1117.6</v>
      </c>
    </row>
    <row r="242" ht="15.75" customHeight="1">
      <c r="A242" s="13" t="s">
        <v>1631</v>
      </c>
      <c r="B242" s="9" t="s">
        <v>691</v>
      </c>
      <c r="C242" s="9" t="s">
        <v>1626</v>
      </c>
      <c r="D242" s="121">
        <v>229.0</v>
      </c>
      <c r="E242" s="121">
        <f t="shared" si="2"/>
        <v>183.2</v>
      </c>
    </row>
    <row r="243" ht="15.75" customHeight="1">
      <c r="A243" s="13" t="s">
        <v>1632</v>
      </c>
      <c r="B243" s="9" t="s">
        <v>694</v>
      </c>
      <c r="C243" s="9" t="s">
        <v>1626</v>
      </c>
      <c r="D243" s="121">
        <v>458.0</v>
      </c>
      <c r="E243" s="121">
        <f t="shared" si="2"/>
        <v>366.4</v>
      </c>
    </row>
    <row r="244" ht="15.75" customHeight="1">
      <c r="A244" s="13" t="s">
        <v>1633</v>
      </c>
      <c r="B244" s="13" t="s">
        <v>69</v>
      </c>
      <c r="C244" s="9" t="s">
        <v>1634</v>
      </c>
      <c r="D244" s="121">
        <v>1499.0</v>
      </c>
      <c r="E244" s="121">
        <f t="shared" si="2"/>
        <v>1199.2</v>
      </c>
    </row>
    <row r="245" ht="15.75" customHeight="1">
      <c r="A245" s="13" t="s">
        <v>1635</v>
      </c>
      <c r="B245" s="13" t="s">
        <v>72</v>
      </c>
      <c r="C245" s="9" t="s">
        <v>1634</v>
      </c>
      <c r="D245" s="121">
        <v>2548.0</v>
      </c>
      <c r="E245" s="121">
        <f t="shared" si="2"/>
        <v>2038.4</v>
      </c>
    </row>
    <row r="246" ht="15.75" customHeight="1">
      <c r="A246" s="13" t="s">
        <v>1636</v>
      </c>
      <c r="B246" s="13" t="s">
        <v>74</v>
      </c>
      <c r="C246" s="9" t="s">
        <v>1634</v>
      </c>
      <c r="D246" s="121">
        <v>4197.0</v>
      </c>
      <c r="E246" s="121">
        <f t="shared" si="2"/>
        <v>3357.6</v>
      </c>
    </row>
    <row r="247" ht="15.75" customHeight="1">
      <c r="A247" s="9" t="s">
        <v>1637</v>
      </c>
      <c r="B247" s="9" t="s">
        <v>256</v>
      </c>
      <c r="C247" s="9" t="s">
        <v>1634</v>
      </c>
      <c r="D247" s="121">
        <v>1019.0</v>
      </c>
      <c r="E247" s="121">
        <f t="shared" si="2"/>
        <v>815.2</v>
      </c>
    </row>
    <row r="248" ht="15.75" customHeight="1">
      <c r="A248" s="9" t="s">
        <v>1638</v>
      </c>
      <c r="B248" s="9" t="s">
        <v>259</v>
      </c>
      <c r="C248" s="9" t="s">
        <v>1634</v>
      </c>
      <c r="D248" s="121">
        <v>1979.0</v>
      </c>
      <c r="E248" s="121">
        <f t="shared" si="2"/>
        <v>1583.2</v>
      </c>
    </row>
    <row r="249" ht="15.75" customHeight="1">
      <c r="A249" s="9" t="s">
        <v>1639</v>
      </c>
      <c r="B249" s="9" t="s">
        <v>63</v>
      </c>
      <c r="C249" s="9" t="s">
        <v>1634</v>
      </c>
      <c r="D249" s="121">
        <v>2250.0</v>
      </c>
      <c r="E249" s="121">
        <f t="shared" si="2"/>
        <v>1800</v>
      </c>
    </row>
    <row r="250" ht="15.75" customHeight="1">
      <c r="A250" s="9" t="s">
        <v>235</v>
      </c>
      <c r="B250" s="9" t="s">
        <v>539</v>
      </c>
      <c r="C250" s="9" t="s">
        <v>1634</v>
      </c>
      <c r="D250" s="121">
        <v>999.0</v>
      </c>
      <c r="E250" s="121">
        <f t="shared" si="2"/>
        <v>799.2</v>
      </c>
    </row>
    <row r="251" ht="15.75" customHeight="1">
      <c r="A251" s="9" t="s">
        <v>230</v>
      </c>
      <c r="B251" s="9" t="s">
        <v>231</v>
      </c>
      <c r="C251" s="9" t="s">
        <v>1634</v>
      </c>
      <c r="D251" s="121">
        <v>1000.0</v>
      </c>
      <c r="E251" s="121">
        <f t="shared" si="2"/>
        <v>800</v>
      </c>
    </row>
    <row r="252" ht="15.75" customHeight="1">
      <c r="A252" s="9" t="s">
        <v>1640</v>
      </c>
      <c r="B252" s="9" t="s">
        <v>256</v>
      </c>
      <c r="C252" s="9" t="s">
        <v>1641</v>
      </c>
      <c r="D252" s="121">
        <v>139.0</v>
      </c>
      <c r="E252" s="121">
        <f t="shared" si="2"/>
        <v>111.2</v>
      </c>
    </row>
    <row r="253" ht="15.75" customHeight="1">
      <c r="A253" s="9" t="s">
        <v>1642</v>
      </c>
      <c r="B253" s="9" t="s">
        <v>259</v>
      </c>
      <c r="C253" s="9" t="s">
        <v>1641</v>
      </c>
      <c r="D253" s="121">
        <v>259.0</v>
      </c>
      <c r="E253" s="121">
        <f t="shared" si="2"/>
        <v>207.2</v>
      </c>
    </row>
    <row r="254" ht="15.75" customHeight="1">
      <c r="A254" s="13" t="s">
        <v>1643</v>
      </c>
      <c r="B254" s="13" t="s">
        <v>69</v>
      </c>
      <c r="C254" s="9" t="s">
        <v>1641</v>
      </c>
      <c r="D254" s="121">
        <v>199.0</v>
      </c>
      <c r="E254" s="121">
        <f t="shared" si="2"/>
        <v>159.2</v>
      </c>
    </row>
    <row r="255" ht="15.75" customHeight="1">
      <c r="A255" s="13" t="s">
        <v>1644</v>
      </c>
      <c r="B255" s="13" t="s">
        <v>72</v>
      </c>
      <c r="C255" s="9" t="s">
        <v>1641</v>
      </c>
      <c r="D255" s="121">
        <v>338.0</v>
      </c>
      <c r="E255" s="121">
        <f t="shared" si="2"/>
        <v>270.4</v>
      </c>
    </row>
    <row r="256" ht="15.75" customHeight="1">
      <c r="A256" s="13" t="s">
        <v>1645</v>
      </c>
      <c r="B256" s="13" t="s">
        <v>74</v>
      </c>
      <c r="C256" s="9" t="s">
        <v>1641</v>
      </c>
      <c r="D256" s="121">
        <v>557.0</v>
      </c>
      <c r="E256" s="121">
        <f t="shared" si="2"/>
        <v>445.6</v>
      </c>
    </row>
    <row r="257" ht="15.75" customHeight="1">
      <c r="A257" s="9" t="s">
        <v>1646</v>
      </c>
      <c r="B257" s="9" t="s">
        <v>63</v>
      </c>
      <c r="C257" s="9" t="s">
        <v>1641</v>
      </c>
      <c r="D257" s="121">
        <v>320.0</v>
      </c>
      <c r="E257" s="121">
        <f t="shared" si="2"/>
        <v>256</v>
      </c>
    </row>
    <row r="258" ht="15.75" customHeight="1">
      <c r="A258" s="9" t="s">
        <v>1647</v>
      </c>
      <c r="B258" s="9" t="s">
        <v>1180</v>
      </c>
      <c r="C258" s="9" t="s">
        <v>1641</v>
      </c>
      <c r="D258" s="121">
        <v>79.0</v>
      </c>
      <c r="E258" s="121">
        <f t="shared" si="2"/>
        <v>63.2</v>
      </c>
    </row>
    <row r="259" ht="15.75" customHeight="1">
      <c r="A259" s="9" t="s">
        <v>731</v>
      </c>
      <c r="B259" s="9" t="s">
        <v>732</v>
      </c>
      <c r="C259" s="9" t="s">
        <v>1641</v>
      </c>
      <c r="D259" s="121">
        <v>29.0</v>
      </c>
      <c r="E259" s="121">
        <f t="shared" si="2"/>
        <v>23.2</v>
      </c>
    </row>
    <row r="260" ht="15.75" customHeight="1">
      <c r="A260" s="9" t="s">
        <v>734</v>
      </c>
      <c r="B260" s="9" t="s">
        <v>694</v>
      </c>
      <c r="C260" s="9" t="s">
        <v>1641</v>
      </c>
      <c r="D260" s="121">
        <v>49.0</v>
      </c>
      <c r="E260" s="121">
        <f t="shared" si="2"/>
        <v>39.2</v>
      </c>
    </row>
    <row r="261" ht="15.75" customHeight="1">
      <c r="A261" s="7" t="s">
        <v>1488</v>
      </c>
      <c r="B261" s="7" t="s">
        <v>1489</v>
      </c>
      <c r="C261" s="9" t="s">
        <v>1641</v>
      </c>
      <c r="D261" s="121">
        <v>99.0</v>
      </c>
      <c r="E261" s="121">
        <f t="shared" si="2"/>
        <v>79.2</v>
      </c>
    </row>
    <row r="262" ht="15.75" customHeight="1">
      <c r="A262" s="9" t="s">
        <v>621</v>
      </c>
      <c r="B262" s="9" t="s">
        <v>1529</v>
      </c>
      <c r="C262" s="9" t="s">
        <v>1641</v>
      </c>
      <c r="D262" s="121">
        <v>99.0</v>
      </c>
      <c r="E262" s="121">
        <f t="shared" si="2"/>
        <v>79.2</v>
      </c>
    </row>
    <row r="263" ht="15.75" customHeight="1">
      <c r="A263" s="9" t="s">
        <v>623</v>
      </c>
      <c r="B263" s="9" t="s">
        <v>1648</v>
      </c>
      <c r="C263" s="9" t="s">
        <v>1641</v>
      </c>
      <c r="D263" s="121">
        <v>199.0</v>
      </c>
      <c r="E263" s="121">
        <f t="shared" si="2"/>
        <v>159.2</v>
      </c>
    </row>
    <row r="264" ht="15.75" customHeight="1">
      <c r="A264" s="13" t="s">
        <v>495</v>
      </c>
      <c r="B264" s="13" t="s">
        <v>11</v>
      </c>
      <c r="C264" s="9" t="s">
        <v>1649</v>
      </c>
      <c r="D264" s="121">
        <v>199.0</v>
      </c>
      <c r="E264" s="121">
        <f t="shared" si="2"/>
        <v>159.2</v>
      </c>
    </row>
    <row r="265" ht="15.75" customHeight="1">
      <c r="A265" s="13" t="s">
        <v>497</v>
      </c>
      <c r="B265" s="13" t="s">
        <v>15</v>
      </c>
      <c r="C265" s="9" t="s">
        <v>1649</v>
      </c>
      <c r="D265" s="121">
        <v>398.0</v>
      </c>
      <c r="E265" s="121">
        <f t="shared" si="2"/>
        <v>318.4</v>
      </c>
    </row>
    <row r="266" ht="15.75" customHeight="1">
      <c r="A266" s="13" t="s">
        <v>498</v>
      </c>
      <c r="B266" s="13" t="s">
        <v>17</v>
      </c>
      <c r="C266" s="9" t="s">
        <v>1649</v>
      </c>
      <c r="D266" s="121">
        <v>796.0</v>
      </c>
      <c r="E266" s="121">
        <f t="shared" si="2"/>
        <v>636.8</v>
      </c>
    </row>
    <row r="267" ht="15.75" customHeight="1">
      <c r="A267" s="13" t="s">
        <v>499</v>
      </c>
      <c r="B267" s="9" t="s">
        <v>19</v>
      </c>
      <c r="C267" s="9" t="s">
        <v>1649</v>
      </c>
      <c r="D267" s="121">
        <v>239.0</v>
      </c>
      <c r="E267" s="121">
        <f t="shared" si="2"/>
        <v>191.2</v>
      </c>
    </row>
    <row r="268" ht="15.75" customHeight="1">
      <c r="A268" s="13" t="s">
        <v>501</v>
      </c>
      <c r="B268" s="9" t="s">
        <v>22</v>
      </c>
      <c r="C268" s="9" t="s">
        <v>1649</v>
      </c>
      <c r="D268" s="121">
        <v>406.0</v>
      </c>
      <c r="E268" s="121">
        <f t="shared" si="2"/>
        <v>324.8</v>
      </c>
    </row>
    <row r="269" ht="15.75" customHeight="1">
      <c r="A269" s="13" t="s">
        <v>502</v>
      </c>
      <c r="B269" s="9" t="s">
        <v>24</v>
      </c>
      <c r="C269" s="9" t="s">
        <v>1649</v>
      </c>
      <c r="D269" s="121">
        <v>669.0</v>
      </c>
      <c r="E269" s="121">
        <f t="shared" si="2"/>
        <v>535.2</v>
      </c>
    </row>
    <row r="270" ht="15.75" customHeight="1">
      <c r="A270" s="7" t="s">
        <v>1650</v>
      </c>
      <c r="B270" s="9" t="s">
        <v>256</v>
      </c>
      <c r="C270" s="7" t="s">
        <v>1651</v>
      </c>
      <c r="D270" s="121">
        <v>49.0</v>
      </c>
      <c r="E270" s="121">
        <f t="shared" si="2"/>
        <v>39.2</v>
      </c>
    </row>
    <row r="271" ht="15.75" customHeight="1">
      <c r="A271" s="7" t="s">
        <v>1652</v>
      </c>
      <c r="B271" s="9" t="s">
        <v>259</v>
      </c>
      <c r="C271" s="7" t="s">
        <v>1651</v>
      </c>
      <c r="D271" s="121">
        <v>89.0</v>
      </c>
      <c r="E271" s="121">
        <f t="shared" si="2"/>
        <v>71.2</v>
      </c>
    </row>
    <row r="272" ht="15.75" customHeight="1">
      <c r="A272" s="13" t="s">
        <v>829</v>
      </c>
      <c r="B272" s="9" t="s">
        <v>69</v>
      </c>
      <c r="C272" s="7" t="s">
        <v>1651</v>
      </c>
      <c r="D272" s="121">
        <v>69.0</v>
      </c>
      <c r="E272" s="121">
        <f t="shared" si="2"/>
        <v>55.2</v>
      </c>
    </row>
    <row r="273" ht="15.75" customHeight="1">
      <c r="A273" s="13" t="s">
        <v>831</v>
      </c>
      <c r="B273" s="9" t="s">
        <v>72</v>
      </c>
      <c r="C273" s="7" t="s">
        <v>1651</v>
      </c>
      <c r="D273" s="121">
        <v>118.0</v>
      </c>
      <c r="E273" s="121">
        <f t="shared" si="2"/>
        <v>94.4</v>
      </c>
    </row>
    <row r="274" ht="15.75" customHeight="1">
      <c r="A274" s="13" t="s">
        <v>832</v>
      </c>
      <c r="B274" s="9" t="s">
        <v>74</v>
      </c>
      <c r="C274" s="7" t="s">
        <v>1651</v>
      </c>
      <c r="D274" s="121">
        <v>194.0</v>
      </c>
      <c r="E274" s="121">
        <f t="shared" si="2"/>
        <v>155.2</v>
      </c>
    </row>
    <row r="275" ht="15.75" customHeight="1">
      <c r="A275" s="7" t="s">
        <v>779</v>
      </c>
      <c r="B275" s="9" t="s">
        <v>256</v>
      </c>
      <c r="C275" s="9" t="s">
        <v>1653</v>
      </c>
      <c r="D275" s="121">
        <v>469.0</v>
      </c>
      <c r="E275" s="121">
        <f t="shared" si="2"/>
        <v>375.2</v>
      </c>
    </row>
    <row r="276" ht="15.75" customHeight="1">
      <c r="A276" s="7" t="s">
        <v>781</v>
      </c>
      <c r="B276" s="9" t="s">
        <v>259</v>
      </c>
      <c r="C276" s="9" t="s">
        <v>1653</v>
      </c>
      <c r="D276" s="121">
        <v>899.0</v>
      </c>
      <c r="E276" s="121">
        <f t="shared" si="2"/>
        <v>719.2</v>
      </c>
    </row>
    <row r="277" ht="15.75" customHeight="1">
      <c r="A277" s="7" t="s">
        <v>782</v>
      </c>
      <c r="B277" s="9" t="s">
        <v>783</v>
      </c>
      <c r="C277" s="9" t="s">
        <v>1653</v>
      </c>
      <c r="D277" s="121">
        <v>1313.0</v>
      </c>
      <c r="E277" s="121">
        <f t="shared" si="2"/>
        <v>1050.4</v>
      </c>
    </row>
    <row r="278" ht="15.75" customHeight="1">
      <c r="A278" s="13" t="s">
        <v>784</v>
      </c>
      <c r="B278" s="13" t="s">
        <v>69</v>
      </c>
      <c r="C278" s="9" t="s">
        <v>1653</v>
      </c>
      <c r="D278" s="121">
        <v>699.0</v>
      </c>
      <c r="E278" s="121">
        <f t="shared" si="2"/>
        <v>559.2</v>
      </c>
    </row>
    <row r="279" ht="15.75" customHeight="1">
      <c r="A279" s="13" t="s">
        <v>786</v>
      </c>
      <c r="B279" s="13" t="s">
        <v>72</v>
      </c>
      <c r="C279" s="9" t="s">
        <v>1653</v>
      </c>
      <c r="D279" s="121">
        <v>1188.0</v>
      </c>
      <c r="E279" s="121">
        <f t="shared" si="2"/>
        <v>950.4</v>
      </c>
    </row>
    <row r="280" ht="15.75" customHeight="1">
      <c r="A280" s="13" t="s">
        <v>787</v>
      </c>
      <c r="B280" s="13" t="s">
        <v>74</v>
      </c>
      <c r="C280" s="9" t="s">
        <v>1653</v>
      </c>
      <c r="D280" s="121">
        <v>1957.0</v>
      </c>
      <c r="E280" s="121">
        <f t="shared" si="2"/>
        <v>1565.6</v>
      </c>
    </row>
    <row r="281" ht="15.75" customHeight="1">
      <c r="A281" s="9" t="s">
        <v>1654</v>
      </c>
      <c r="B281" s="9" t="s">
        <v>256</v>
      </c>
      <c r="C281" s="9" t="s">
        <v>1655</v>
      </c>
      <c r="D281" s="121">
        <v>189.0</v>
      </c>
      <c r="E281" s="121">
        <f t="shared" si="2"/>
        <v>151.2</v>
      </c>
    </row>
    <row r="282" ht="15.75" customHeight="1">
      <c r="A282" s="9" t="s">
        <v>1656</v>
      </c>
      <c r="B282" s="9" t="s">
        <v>259</v>
      </c>
      <c r="C282" s="9" t="s">
        <v>1655</v>
      </c>
      <c r="D282" s="121">
        <v>369.0</v>
      </c>
      <c r="E282" s="121">
        <f t="shared" si="2"/>
        <v>295.2</v>
      </c>
    </row>
    <row r="283" ht="15.75" customHeight="1">
      <c r="A283" s="13" t="s">
        <v>1657</v>
      </c>
      <c r="B283" s="13" t="s">
        <v>69</v>
      </c>
      <c r="C283" s="9" t="s">
        <v>1655</v>
      </c>
      <c r="D283" s="121">
        <v>249.0</v>
      </c>
      <c r="E283" s="121">
        <f t="shared" si="2"/>
        <v>199.2</v>
      </c>
    </row>
    <row r="284" ht="15.75" customHeight="1">
      <c r="A284" s="13" t="s">
        <v>1658</v>
      </c>
      <c r="B284" s="13" t="s">
        <v>72</v>
      </c>
      <c r="C284" s="9" t="s">
        <v>1655</v>
      </c>
      <c r="D284" s="121">
        <v>424.0</v>
      </c>
      <c r="E284" s="121">
        <f t="shared" si="2"/>
        <v>339.2</v>
      </c>
    </row>
    <row r="285" ht="15.75" customHeight="1">
      <c r="A285" s="13" t="s">
        <v>1659</v>
      </c>
      <c r="B285" s="13" t="s">
        <v>74</v>
      </c>
      <c r="C285" s="9" t="s">
        <v>1655</v>
      </c>
      <c r="D285" s="121">
        <v>698.0</v>
      </c>
      <c r="E285" s="121">
        <f t="shared" si="2"/>
        <v>558.4</v>
      </c>
    </row>
    <row r="286" ht="15.75" customHeight="1">
      <c r="A286" s="9" t="s">
        <v>1453</v>
      </c>
      <c r="B286" s="9" t="s">
        <v>732</v>
      </c>
      <c r="C286" s="9" t="s">
        <v>1655</v>
      </c>
      <c r="D286" s="121">
        <v>69.0</v>
      </c>
      <c r="E286" s="121">
        <f t="shared" si="2"/>
        <v>55.2</v>
      </c>
    </row>
    <row r="287" ht="15.75" customHeight="1">
      <c r="A287" s="9" t="s">
        <v>1455</v>
      </c>
      <c r="B287" s="9" t="s">
        <v>732</v>
      </c>
      <c r="C287" s="9" t="s">
        <v>1655</v>
      </c>
      <c r="D287" s="121">
        <v>138.0</v>
      </c>
      <c r="E287" s="121">
        <f t="shared" si="2"/>
        <v>110.4</v>
      </c>
    </row>
    <row r="288" ht="15.75" customHeight="1">
      <c r="A288" s="9" t="s">
        <v>1660</v>
      </c>
      <c r="B288" s="9" t="s">
        <v>256</v>
      </c>
      <c r="C288" s="9" t="s">
        <v>1661</v>
      </c>
      <c r="D288" s="121">
        <v>209.0</v>
      </c>
      <c r="E288" s="121">
        <f t="shared" si="2"/>
        <v>167.2</v>
      </c>
    </row>
    <row r="289" ht="15.75" customHeight="1">
      <c r="A289" s="9" t="s">
        <v>1662</v>
      </c>
      <c r="B289" s="9" t="s">
        <v>259</v>
      </c>
      <c r="C289" s="9" t="s">
        <v>1661</v>
      </c>
      <c r="D289" s="121">
        <v>399.0</v>
      </c>
      <c r="E289" s="121">
        <f t="shared" si="2"/>
        <v>319.2</v>
      </c>
    </row>
    <row r="290" ht="15.75" customHeight="1">
      <c r="A290" s="13" t="s">
        <v>1657</v>
      </c>
      <c r="B290" s="13" t="s">
        <v>69</v>
      </c>
      <c r="C290" s="9" t="s">
        <v>1661</v>
      </c>
      <c r="D290" s="121">
        <v>249.0</v>
      </c>
      <c r="E290" s="121">
        <f t="shared" si="2"/>
        <v>199.2</v>
      </c>
    </row>
    <row r="291" ht="15.75" customHeight="1">
      <c r="A291" s="13" t="s">
        <v>1658</v>
      </c>
      <c r="B291" s="13" t="s">
        <v>72</v>
      </c>
      <c r="C291" s="9" t="s">
        <v>1661</v>
      </c>
      <c r="D291" s="121">
        <v>424.0</v>
      </c>
      <c r="E291" s="121">
        <f t="shared" si="2"/>
        <v>339.2</v>
      </c>
    </row>
    <row r="292" ht="15.75" customHeight="1">
      <c r="A292" s="13" t="s">
        <v>1659</v>
      </c>
      <c r="B292" s="13" t="s">
        <v>74</v>
      </c>
      <c r="C292" s="9" t="s">
        <v>1661</v>
      </c>
      <c r="D292" s="121">
        <v>698.0</v>
      </c>
      <c r="E292" s="121">
        <f t="shared" si="2"/>
        <v>558.4</v>
      </c>
    </row>
    <row r="293" ht="15.75" customHeight="1">
      <c r="A293" s="9" t="s">
        <v>1453</v>
      </c>
      <c r="B293" s="9" t="s">
        <v>732</v>
      </c>
      <c r="C293" s="9" t="s">
        <v>1661</v>
      </c>
      <c r="D293" s="121">
        <v>69.0</v>
      </c>
      <c r="E293" s="121">
        <f t="shared" si="2"/>
        <v>55.2</v>
      </c>
    </row>
    <row r="294" ht="15.75" customHeight="1">
      <c r="A294" s="9" t="s">
        <v>1455</v>
      </c>
      <c r="B294" s="9" t="s">
        <v>732</v>
      </c>
      <c r="C294" s="9" t="s">
        <v>1661</v>
      </c>
      <c r="D294" s="121">
        <v>138.0</v>
      </c>
      <c r="E294" s="121">
        <f t="shared" si="2"/>
        <v>110.4</v>
      </c>
    </row>
    <row r="295" ht="15.75" customHeight="1">
      <c r="A295" s="9" t="s">
        <v>1663</v>
      </c>
      <c r="B295" s="9" t="s">
        <v>256</v>
      </c>
      <c r="C295" s="9" t="s">
        <v>1664</v>
      </c>
      <c r="D295" s="121">
        <v>299.0</v>
      </c>
      <c r="E295" s="121">
        <f t="shared" si="2"/>
        <v>239.2</v>
      </c>
    </row>
    <row r="296" ht="15.75" customHeight="1">
      <c r="A296" s="9" t="s">
        <v>1665</v>
      </c>
      <c r="B296" s="9" t="s">
        <v>259</v>
      </c>
      <c r="C296" s="9" t="s">
        <v>1664</v>
      </c>
      <c r="D296" s="121">
        <v>569.0</v>
      </c>
      <c r="E296" s="121">
        <f t="shared" si="2"/>
        <v>455.2</v>
      </c>
    </row>
    <row r="297" ht="15.75" customHeight="1">
      <c r="A297" s="13" t="s">
        <v>1666</v>
      </c>
      <c r="B297" s="13" t="s">
        <v>69</v>
      </c>
      <c r="C297" s="9" t="s">
        <v>1664</v>
      </c>
      <c r="D297" s="121">
        <v>369.0</v>
      </c>
      <c r="E297" s="121">
        <f t="shared" si="2"/>
        <v>295.2</v>
      </c>
    </row>
    <row r="298" ht="15.75" customHeight="1">
      <c r="A298" s="13" t="s">
        <v>1667</v>
      </c>
      <c r="B298" s="13" t="s">
        <v>72</v>
      </c>
      <c r="C298" s="9" t="s">
        <v>1664</v>
      </c>
      <c r="D298" s="121">
        <v>628.0</v>
      </c>
      <c r="E298" s="121">
        <f t="shared" si="2"/>
        <v>502.4</v>
      </c>
    </row>
    <row r="299" ht="15.75" customHeight="1">
      <c r="A299" s="13" t="s">
        <v>1668</v>
      </c>
      <c r="B299" s="13" t="s">
        <v>74</v>
      </c>
      <c r="C299" s="9" t="s">
        <v>1664</v>
      </c>
      <c r="D299" s="121">
        <v>1034.0</v>
      </c>
      <c r="E299" s="121">
        <f t="shared" si="2"/>
        <v>827.2</v>
      </c>
    </row>
    <row r="300" ht="15.75" customHeight="1">
      <c r="A300" s="9" t="s">
        <v>1453</v>
      </c>
      <c r="B300" s="9" t="s">
        <v>732</v>
      </c>
      <c r="C300" s="9" t="s">
        <v>1664</v>
      </c>
      <c r="D300" s="121">
        <v>69.0</v>
      </c>
      <c r="E300" s="121">
        <f t="shared" si="2"/>
        <v>55.2</v>
      </c>
    </row>
    <row r="301" ht="15.75" customHeight="1">
      <c r="A301" s="9" t="s">
        <v>1455</v>
      </c>
      <c r="B301" s="9" t="s">
        <v>732</v>
      </c>
      <c r="C301" s="9" t="s">
        <v>1664</v>
      </c>
      <c r="D301" s="121">
        <v>138.0</v>
      </c>
      <c r="E301" s="121">
        <f t="shared" si="2"/>
        <v>110.4</v>
      </c>
    </row>
    <row r="302" ht="15.75" customHeight="1">
      <c r="A302" s="9" t="s">
        <v>1669</v>
      </c>
      <c r="B302" s="9" t="s">
        <v>256</v>
      </c>
      <c r="C302" s="126" t="s">
        <v>1670</v>
      </c>
      <c r="D302" s="121">
        <v>29.0</v>
      </c>
      <c r="E302" s="121">
        <f t="shared" si="2"/>
        <v>23.2</v>
      </c>
    </row>
    <row r="303" ht="15.75" customHeight="1">
      <c r="A303" s="9" t="s">
        <v>1671</v>
      </c>
      <c r="B303" s="9" t="s">
        <v>259</v>
      </c>
      <c r="C303" s="126" t="s">
        <v>1670</v>
      </c>
      <c r="D303" s="121">
        <v>55.0</v>
      </c>
      <c r="E303" s="121">
        <f t="shared" si="2"/>
        <v>44</v>
      </c>
    </row>
    <row r="304" ht="15.75" customHeight="1">
      <c r="A304" s="9" t="s">
        <v>829</v>
      </c>
      <c r="B304" s="13" t="s">
        <v>69</v>
      </c>
      <c r="C304" s="126" t="s">
        <v>1670</v>
      </c>
      <c r="D304" s="121">
        <v>69.0</v>
      </c>
      <c r="E304" s="121">
        <f t="shared" si="2"/>
        <v>55.2</v>
      </c>
    </row>
    <row r="305" ht="15.75" customHeight="1">
      <c r="A305" s="9" t="s">
        <v>831</v>
      </c>
      <c r="B305" s="13" t="s">
        <v>72</v>
      </c>
      <c r="C305" s="126" t="s">
        <v>1670</v>
      </c>
      <c r="D305" s="121">
        <v>118.0</v>
      </c>
      <c r="E305" s="121">
        <f t="shared" si="2"/>
        <v>94.4</v>
      </c>
    </row>
    <row r="306" ht="15.75" customHeight="1">
      <c r="A306" s="9" t="s">
        <v>832</v>
      </c>
      <c r="B306" s="13" t="s">
        <v>74</v>
      </c>
      <c r="C306" s="126" t="s">
        <v>1670</v>
      </c>
      <c r="D306" s="121">
        <v>194.0</v>
      </c>
      <c r="E306" s="121">
        <f t="shared" si="2"/>
        <v>155.2</v>
      </c>
    </row>
    <row r="307" ht="15.75" customHeight="1">
      <c r="A307" s="9" t="s">
        <v>1672</v>
      </c>
      <c r="B307" s="13" t="s">
        <v>1673</v>
      </c>
      <c r="C307" s="126" t="s">
        <v>1670</v>
      </c>
      <c r="D307" s="121">
        <v>99.0</v>
      </c>
      <c r="E307" s="121">
        <f t="shared" si="2"/>
        <v>79.2</v>
      </c>
    </row>
    <row r="308" ht="15.75" customHeight="1">
      <c r="A308" s="9" t="s">
        <v>1674</v>
      </c>
      <c r="B308" s="13" t="s">
        <v>1675</v>
      </c>
      <c r="C308" s="126" t="s">
        <v>1670</v>
      </c>
      <c r="D308" s="121">
        <v>189.0</v>
      </c>
      <c r="E308" s="121">
        <f t="shared" si="2"/>
        <v>151.2</v>
      </c>
    </row>
    <row r="309" ht="15.75" customHeight="1">
      <c r="A309" s="9" t="s">
        <v>1676</v>
      </c>
      <c r="B309" s="13" t="s">
        <v>1677</v>
      </c>
      <c r="C309" s="126" t="s">
        <v>1670</v>
      </c>
      <c r="D309" s="121">
        <v>349.0</v>
      </c>
      <c r="E309" s="121">
        <f t="shared" si="2"/>
        <v>279.2</v>
      </c>
    </row>
    <row r="310" ht="15.75" customHeight="1">
      <c r="A310" s="9" t="s">
        <v>1678</v>
      </c>
      <c r="B310" s="13" t="s">
        <v>1679</v>
      </c>
      <c r="C310" s="126" t="s">
        <v>1670</v>
      </c>
      <c r="D310" s="121">
        <v>799.0</v>
      </c>
      <c r="E310" s="121">
        <f t="shared" si="2"/>
        <v>639.2</v>
      </c>
    </row>
    <row r="311" ht="15.75" customHeight="1">
      <c r="A311" s="13" t="s">
        <v>1680</v>
      </c>
      <c r="B311" s="13" t="s">
        <v>69</v>
      </c>
      <c r="C311" s="9" t="s">
        <v>1681</v>
      </c>
      <c r="D311" s="121">
        <v>499.0</v>
      </c>
      <c r="E311" s="121">
        <f t="shared" si="2"/>
        <v>399.2</v>
      </c>
    </row>
    <row r="312" ht="15.75" customHeight="1">
      <c r="A312" s="13" t="s">
        <v>1682</v>
      </c>
      <c r="B312" s="13" t="s">
        <v>72</v>
      </c>
      <c r="C312" s="9" t="s">
        <v>1681</v>
      </c>
      <c r="D312" s="121">
        <v>848.0</v>
      </c>
      <c r="E312" s="121">
        <f t="shared" si="2"/>
        <v>678.4</v>
      </c>
    </row>
    <row r="313" ht="15.75" customHeight="1">
      <c r="A313" s="13" t="s">
        <v>1683</v>
      </c>
      <c r="B313" s="13" t="s">
        <v>74</v>
      </c>
      <c r="C313" s="9" t="s">
        <v>1681</v>
      </c>
      <c r="D313" s="121">
        <v>1397.0</v>
      </c>
      <c r="E313" s="121">
        <f t="shared" si="2"/>
        <v>1117.6</v>
      </c>
    </row>
    <row r="314" ht="15.75" customHeight="1">
      <c r="A314" s="9" t="s">
        <v>1684</v>
      </c>
      <c r="B314" s="9" t="s">
        <v>256</v>
      </c>
      <c r="C314" s="9" t="s">
        <v>1681</v>
      </c>
      <c r="D314" s="121">
        <v>349.0</v>
      </c>
      <c r="E314" s="121">
        <f t="shared" si="2"/>
        <v>279.2</v>
      </c>
    </row>
    <row r="315" ht="15.75" customHeight="1">
      <c r="A315" s="9" t="s">
        <v>1685</v>
      </c>
      <c r="B315" s="9" t="s">
        <v>259</v>
      </c>
      <c r="C315" s="9" t="s">
        <v>1681</v>
      </c>
      <c r="D315" s="121">
        <v>659.0</v>
      </c>
      <c r="E315" s="121">
        <f t="shared" si="2"/>
        <v>527.2</v>
      </c>
    </row>
    <row r="316" ht="15.75" customHeight="1">
      <c r="A316" s="9" t="s">
        <v>1686</v>
      </c>
      <c r="B316" s="9" t="s">
        <v>63</v>
      </c>
      <c r="C316" s="9" t="s">
        <v>1681</v>
      </c>
      <c r="D316" s="121">
        <v>900.0</v>
      </c>
      <c r="E316" s="121">
        <f t="shared" si="2"/>
        <v>720</v>
      </c>
    </row>
    <row r="317" ht="15.75" customHeight="1">
      <c r="A317" s="9" t="s">
        <v>1687</v>
      </c>
      <c r="B317" s="9" t="s">
        <v>256</v>
      </c>
      <c r="C317" s="9" t="s">
        <v>1688</v>
      </c>
      <c r="D317" s="121">
        <v>469.0</v>
      </c>
      <c r="E317" s="121">
        <f t="shared" si="2"/>
        <v>375.2</v>
      </c>
    </row>
    <row r="318" ht="15.75" customHeight="1">
      <c r="A318" s="9" t="s">
        <v>1689</v>
      </c>
      <c r="B318" s="9" t="s">
        <v>259</v>
      </c>
      <c r="C318" s="9" t="s">
        <v>1688</v>
      </c>
      <c r="D318" s="121">
        <v>939.0</v>
      </c>
      <c r="E318" s="121">
        <f t="shared" si="2"/>
        <v>751.2</v>
      </c>
    </row>
    <row r="319" ht="15.75" customHeight="1">
      <c r="A319" s="13" t="s">
        <v>1690</v>
      </c>
      <c r="B319" s="13" t="s">
        <v>69</v>
      </c>
      <c r="C319" s="9" t="s">
        <v>1688</v>
      </c>
      <c r="D319" s="121">
        <v>739.0</v>
      </c>
      <c r="E319" s="121">
        <f t="shared" si="2"/>
        <v>591.2</v>
      </c>
    </row>
    <row r="320" ht="15.75" customHeight="1">
      <c r="A320" s="13" t="s">
        <v>1691</v>
      </c>
      <c r="B320" s="13" t="s">
        <v>72</v>
      </c>
      <c r="C320" s="9" t="s">
        <v>1688</v>
      </c>
      <c r="D320" s="121">
        <v>1256.0</v>
      </c>
      <c r="E320" s="121">
        <f t="shared" si="2"/>
        <v>1004.8</v>
      </c>
    </row>
    <row r="321" ht="15.75" customHeight="1">
      <c r="A321" s="13" t="s">
        <v>1692</v>
      </c>
      <c r="B321" s="13" t="s">
        <v>74</v>
      </c>
      <c r="C321" s="9" t="s">
        <v>1688</v>
      </c>
      <c r="D321" s="121">
        <v>2069.0</v>
      </c>
      <c r="E321" s="121">
        <f t="shared" si="2"/>
        <v>1655.2</v>
      </c>
    </row>
    <row r="322" ht="15.75" customHeight="1">
      <c r="A322" s="9" t="s">
        <v>235</v>
      </c>
      <c r="B322" s="9" t="s">
        <v>539</v>
      </c>
      <c r="C322" s="9" t="s">
        <v>1688</v>
      </c>
      <c r="D322" s="121">
        <v>999.0</v>
      </c>
      <c r="E322" s="121">
        <f t="shared" si="2"/>
        <v>799.2</v>
      </c>
    </row>
    <row r="323" ht="15.75" customHeight="1">
      <c r="A323" s="9" t="s">
        <v>1693</v>
      </c>
      <c r="B323" s="9" t="s">
        <v>256</v>
      </c>
      <c r="C323" s="9" t="s">
        <v>1694</v>
      </c>
      <c r="D323" s="121">
        <v>59.0</v>
      </c>
      <c r="E323" s="121">
        <f t="shared" si="2"/>
        <v>47.2</v>
      </c>
    </row>
    <row r="324" ht="15.75" customHeight="1">
      <c r="A324" s="9" t="s">
        <v>1695</v>
      </c>
      <c r="B324" s="9" t="s">
        <v>259</v>
      </c>
      <c r="C324" s="9" t="s">
        <v>1694</v>
      </c>
      <c r="D324" s="121">
        <v>109.0</v>
      </c>
      <c r="E324" s="121">
        <f t="shared" si="2"/>
        <v>87.2</v>
      </c>
    </row>
    <row r="325" ht="15.75" customHeight="1">
      <c r="A325" s="13" t="s">
        <v>755</v>
      </c>
      <c r="B325" s="9" t="s">
        <v>69</v>
      </c>
      <c r="C325" s="9" t="s">
        <v>1694</v>
      </c>
      <c r="D325" s="121">
        <v>89.0</v>
      </c>
      <c r="E325" s="121">
        <f t="shared" si="2"/>
        <v>71.2</v>
      </c>
    </row>
    <row r="326" ht="15.75" customHeight="1">
      <c r="A326" s="13" t="s">
        <v>757</v>
      </c>
      <c r="B326" s="9" t="s">
        <v>72</v>
      </c>
      <c r="C326" s="9" t="s">
        <v>1694</v>
      </c>
      <c r="D326" s="121">
        <v>152.0</v>
      </c>
      <c r="E326" s="121">
        <f t="shared" si="2"/>
        <v>121.6</v>
      </c>
    </row>
    <row r="327" ht="15.75" customHeight="1">
      <c r="A327" s="13" t="s">
        <v>758</v>
      </c>
      <c r="B327" s="9" t="s">
        <v>74</v>
      </c>
      <c r="C327" s="9" t="s">
        <v>1694</v>
      </c>
      <c r="D327" s="121">
        <v>250.0</v>
      </c>
      <c r="E327" s="121">
        <f t="shared" si="2"/>
        <v>200</v>
      </c>
    </row>
    <row r="328" ht="15.75" customHeight="1">
      <c r="A328" s="9" t="s">
        <v>850</v>
      </c>
      <c r="B328" s="9" t="s">
        <v>732</v>
      </c>
      <c r="C328" s="9" t="s">
        <v>1694</v>
      </c>
      <c r="D328" s="121">
        <v>39.0</v>
      </c>
      <c r="E328" s="121">
        <f t="shared" si="2"/>
        <v>31.2</v>
      </c>
    </row>
    <row r="329" ht="15.75" customHeight="1">
      <c r="A329" s="9" t="s">
        <v>852</v>
      </c>
      <c r="B329" s="9" t="s">
        <v>735</v>
      </c>
      <c r="C329" s="9" t="s">
        <v>1694</v>
      </c>
      <c r="D329" s="121">
        <v>78.0</v>
      </c>
      <c r="E329" s="121">
        <f t="shared" si="2"/>
        <v>62.4</v>
      </c>
    </row>
    <row r="330" ht="15.75" customHeight="1">
      <c r="A330" s="9" t="s">
        <v>1696</v>
      </c>
      <c r="B330" s="9" t="s">
        <v>256</v>
      </c>
      <c r="C330" s="9" t="s">
        <v>1697</v>
      </c>
      <c r="D330" s="121">
        <v>109.0</v>
      </c>
      <c r="E330" s="121">
        <f t="shared" si="2"/>
        <v>87.2</v>
      </c>
    </row>
    <row r="331" ht="15.75" customHeight="1">
      <c r="A331" s="9" t="s">
        <v>1698</v>
      </c>
      <c r="B331" s="9" t="s">
        <v>259</v>
      </c>
      <c r="C331" s="9" t="s">
        <v>1697</v>
      </c>
      <c r="D331" s="121">
        <v>179.0</v>
      </c>
      <c r="E331" s="121">
        <f t="shared" si="2"/>
        <v>143.2</v>
      </c>
    </row>
    <row r="332" ht="15.75" customHeight="1">
      <c r="A332" s="13" t="s">
        <v>415</v>
      </c>
      <c r="B332" s="9" t="s">
        <v>69</v>
      </c>
      <c r="C332" s="9" t="s">
        <v>1697</v>
      </c>
      <c r="D332" s="121">
        <v>129.0</v>
      </c>
      <c r="E332" s="121">
        <f t="shared" si="2"/>
        <v>103.2</v>
      </c>
    </row>
    <row r="333" ht="15.75" customHeight="1">
      <c r="A333" s="13" t="s">
        <v>417</v>
      </c>
      <c r="B333" s="9" t="s">
        <v>72</v>
      </c>
      <c r="C333" s="9" t="s">
        <v>1697</v>
      </c>
      <c r="D333" s="121">
        <v>220.0</v>
      </c>
      <c r="E333" s="121">
        <f t="shared" si="2"/>
        <v>176</v>
      </c>
    </row>
    <row r="334" ht="15.75" customHeight="1">
      <c r="A334" s="13" t="s">
        <v>418</v>
      </c>
      <c r="B334" s="9" t="s">
        <v>74</v>
      </c>
      <c r="C334" s="9" t="s">
        <v>1697</v>
      </c>
      <c r="D334" s="121">
        <v>362.0</v>
      </c>
      <c r="E334" s="121">
        <f t="shared" si="2"/>
        <v>289.6</v>
      </c>
    </row>
    <row r="335" ht="15.75" customHeight="1">
      <c r="A335" s="9" t="s">
        <v>850</v>
      </c>
      <c r="B335" s="9" t="s">
        <v>732</v>
      </c>
      <c r="C335" s="9" t="s">
        <v>1697</v>
      </c>
      <c r="D335" s="121">
        <v>39.0</v>
      </c>
      <c r="E335" s="121">
        <f t="shared" si="2"/>
        <v>31.2</v>
      </c>
    </row>
    <row r="336" ht="15.75" customHeight="1">
      <c r="A336" s="9" t="s">
        <v>852</v>
      </c>
      <c r="B336" s="9" t="s">
        <v>735</v>
      </c>
      <c r="C336" s="9" t="s">
        <v>1697</v>
      </c>
      <c r="D336" s="121">
        <v>78.0</v>
      </c>
      <c r="E336" s="121">
        <f t="shared" si="2"/>
        <v>62.4</v>
      </c>
    </row>
    <row r="337" ht="15.75" customHeight="1">
      <c r="A337" s="9" t="s">
        <v>1699</v>
      </c>
      <c r="B337" s="9" t="s">
        <v>256</v>
      </c>
      <c r="C337" s="9" t="s">
        <v>1700</v>
      </c>
      <c r="D337" s="121">
        <v>79.0</v>
      </c>
      <c r="E337" s="121">
        <f t="shared" si="2"/>
        <v>63.2</v>
      </c>
    </row>
    <row r="338" ht="15.75" customHeight="1">
      <c r="A338" s="9" t="s">
        <v>1701</v>
      </c>
      <c r="B338" s="9" t="s">
        <v>259</v>
      </c>
      <c r="C338" s="9" t="s">
        <v>1702</v>
      </c>
      <c r="D338" s="121">
        <v>129.0</v>
      </c>
      <c r="E338" s="121">
        <f t="shared" si="2"/>
        <v>103.2</v>
      </c>
    </row>
    <row r="339" ht="15.75" customHeight="1">
      <c r="A339" s="13" t="s">
        <v>415</v>
      </c>
      <c r="B339" s="9" t="s">
        <v>69</v>
      </c>
      <c r="C339" s="9" t="s">
        <v>1703</v>
      </c>
      <c r="D339" s="121">
        <v>129.0</v>
      </c>
      <c r="E339" s="121">
        <f t="shared" si="2"/>
        <v>103.2</v>
      </c>
    </row>
    <row r="340" ht="15.75" customHeight="1">
      <c r="A340" s="13" t="s">
        <v>417</v>
      </c>
      <c r="B340" s="9" t="s">
        <v>72</v>
      </c>
      <c r="C340" s="9" t="s">
        <v>1704</v>
      </c>
      <c r="D340" s="121">
        <v>220.0</v>
      </c>
      <c r="E340" s="121">
        <f t="shared" si="2"/>
        <v>176</v>
      </c>
    </row>
    <row r="341" ht="15.75" customHeight="1">
      <c r="A341" s="13" t="s">
        <v>418</v>
      </c>
      <c r="B341" s="9" t="s">
        <v>74</v>
      </c>
      <c r="C341" s="9" t="s">
        <v>1705</v>
      </c>
      <c r="D341" s="121">
        <v>362.0</v>
      </c>
      <c r="E341" s="121">
        <f t="shared" si="2"/>
        <v>289.6</v>
      </c>
    </row>
    <row r="342" ht="15.75" customHeight="1">
      <c r="A342" s="13" t="s">
        <v>10</v>
      </c>
      <c r="B342" s="13" t="s">
        <v>11</v>
      </c>
      <c r="C342" s="9" t="s">
        <v>1706</v>
      </c>
      <c r="D342" s="121">
        <v>149.0</v>
      </c>
      <c r="E342" s="121">
        <f t="shared" si="2"/>
        <v>119.2</v>
      </c>
    </row>
    <row r="343" ht="15.75" customHeight="1">
      <c r="A343" s="13" t="s">
        <v>14</v>
      </c>
      <c r="B343" s="13" t="s">
        <v>15</v>
      </c>
      <c r="C343" s="9" t="s">
        <v>1706</v>
      </c>
      <c r="D343" s="121">
        <v>298.0</v>
      </c>
      <c r="E343" s="121">
        <f t="shared" si="2"/>
        <v>238.4</v>
      </c>
    </row>
    <row r="344" ht="15.75" customHeight="1">
      <c r="A344" s="13" t="s">
        <v>16</v>
      </c>
      <c r="B344" s="13" t="s">
        <v>17</v>
      </c>
      <c r="C344" s="9" t="s">
        <v>1706</v>
      </c>
      <c r="D344" s="121">
        <v>596.0</v>
      </c>
      <c r="E344" s="121">
        <f t="shared" si="2"/>
        <v>476.8</v>
      </c>
    </row>
    <row r="345" ht="15.75" customHeight="1">
      <c r="A345" s="13" t="s">
        <v>18</v>
      </c>
      <c r="B345" s="13" t="s">
        <v>19</v>
      </c>
      <c r="C345" s="9" t="s">
        <v>1706</v>
      </c>
      <c r="D345" s="121">
        <v>179.0</v>
      </c>
      <c r="E345" s="121">
        <f t="shared" si="2"/>
        <v>143.2</v>
      </c>
    </row>
    <row r="346" ht="15.75" customHeight="1">
      <c r="A346" s="13" t="s">
        <v>21</v>
      </c>
      <c r="B346" s="13" t="s">
        <v>22</v>
      </c>
      <c r="C346" s="9" t="s">
        <v>1706</v>
      </c>
      <c r="D346" s="121">
        <v>304.0</v>
      </c>
      <c r="E346" s="121">
        <f t="shared" si="2"/>
        <v>243.2</v>
      </c>
    </row>
    <row r="347" ht="15.75" customHeight="1">
      <c r="A347" s="13" t="s">
        <v>23</v>
      </c>
      <c r="B347" s="13" t="s">
        <v>24</v>
      </c>
      <c r="C347" s="9" t="s">
        <v>1706</v>
      </c>
      <c r="D347" s="121">
        <v>501.0</v>
      </c>
      <c r="E347" s="121">
        <f t="shared" si="2"/>
        <v>400.8</v>
      </c>
    </row>
    <row r="348" ht="15.75" customHeight="1">
      <c r="A348" s="9" t="s">
        <v>33</v>
      </c>
      <c r="B348" s="9" t="s">
        <v>34</v>
      </c>
      <c r="C348" s="9" t="s">
        <v>1706</v>
      </c>
      <c r="D348" s="121">
        <v>200.0</v>
      </c>
      <c r="E348" s="121">
        <f t="shared" si="2"/>
        <v>160</v>
      </c>
    </row>
    <row r="349" ht="15.75" customHeight="1">
      <c r="A349" s="13" t="s">
        <v>36</v>
      </c>
      <c r="B349" s="13" t="s">
        <v>34</v>
      </c>
      <c r="C349" s="9" t="s">
        <v>1706</v>
      </c>
      <c r="D349" s="121">
        <v>400.0</v>
      </c>
      <c r="E349" s="121">
        <f t="shared" si="2"/>
        <v>320</v>
      </c>
    </row>
    <row r="350" ht="15.75" customHeight="1">
      <c r="A350" s="13" t="s">
        <v>38</v>
      </c>
      <c r="B350" s="13" t="s">
        <v>34</v>
      </c>
      <c r="C350" s="9" t="s">
        <v>1706</v>
      </c>
      <c r="D350" s="121">
        <v>600.0</v>
      </c>
      <c r="E350" s="121">
        <f t="shared" si="2"/>
        <v>480</v>
      </c>
    </row>
    <row r="351" ht="15.75" customHeight="1">
      <c r="A351" s="13" t="s">
        <v>1707</v>
      </c>
      <c r="B351" s="13" t="s">
        <v>691</v>
      </c>
      <c r="C351" s="9" t="s">
        <v>1708</v>
      </c>
      <c r="D351" s="121">
        <v>79.0</v>
      </c>
      <c r="E351" s="121">
        <f t="shared" si="2"/>
        <v>63.2</v>
      </c>
    </row>
    <row r="352" ht="15.75" customHeight="1">
      <c r="A352" s="13" t="s">
        <v>1709</v>
      </c>
      <c r="B352" s="13" t="s">
        <v>694</v>
      </c>
      <c r="C352" s="9" t="s">
        <v>1708</v>
      </c>
      <c r="D352" s="121">
        <v>158.0</v>
      </c>
      <c r="E352" s="121">
        <f t="shared" si="2"/>
        <v>126.4</v>
      </c>
    </row>
    <row r="353" ht="15.75" customHeight="1">
      <c r="A353" s="13" t="s">
        <v>1710</v>
      </c>
      <c r="B353" s="13" t="s">
        <v>256</v>
      </c>
      <c r="C353" s="9" t="s">
        <v>1708</v>
      </c>
      <c r="D353" s="121">
        <v>179.0</v>
      </c>
      <c r="E353" s="121">
        <f t="shared" si="2"/>
        <v>143.2</v>
      </c>
    </row>
    <row r="354" ht="15.75" customHeight="1">
      <c r="A354" s="13" t="s">
        <v>1711</v>
      </c>
      <c r="B354" s="13" t="s">
        <v>259</v>
      </c>
      <c r="C354" s="9" t="s">
        <v>1708</v>
      </c>
      <c r="D354" s="121">
        <v>339.0</v>
      </c>
      <c r="E354" s="121">
        <f t="shared" si="2"/>
        <v>271.2</v>
      </c>
    </row>
    <row r="355" ht="15.75" customHeight="1">
      <c r="A355" s="13" t="s">
        <v>1657</v>
      </c>
      <c r="B355" s="13" t="s">
        <v>69</v>
      </c>
      <c r="C355" s="9" t="s">
        <v>1708</v>
      </c>
      <c r="D355" s="121">
        <v>249.0</v>
      </c>
      <c r="E355" s="121">
        <f t="shared" si="2"/>
        <v>199.2</v>
      </c>
    </row>
    <row r="356" ht="15.75" customHeight="1">
      <c r="A356" s="13" t="s">
        <v>1658</v>
      </c>
      <c r="B356" s="13" t="s">
        <v>72</v>
      </c>
      <c r="C356" s="9" t="s">
        <v>1708</v>
      </c>
      <c r="D356" s="121">
        <v>424.0</v>
      </c>
      <c r="E356" s="121">
        <f t="shared" si="2"/>
        <v>339.2</v>
      </c>
    </row>
    <row r="357" ht="15.75" customHeight="1">
      <c r="A357" s="13" t="s">
        <v>1659</v>
      </c>
      <c r="B357" s="13" t="s">
        <v>74</v>
      </c>
      <c r="C357" s="9" t="s">
        <v>1708</v>
      </c>
      <c r="D357" s="121">
        <v>698.0</v>
      </c>
      <c r="E357" s="121">
        <f t="shared" si="2"/>
        <v>558.4</v>
      </c>
    </row>
    <row r="358" ht="15.75" customHeight="1">
      <c r="A358" s="13" t="s">
        <v>621</v>
      </c>
      <c r="B358" s="13" t="s">
        <v>1462</v>
      </c>
      <c r="C358" s="9" t="s">
        <v>1708</v>
      </c>
      <c r="D358" s="121">
        <v>99.0</v>
      </c>
      <c r="E358" s="121">
        <f t="shared" si="2"/>
        <v>79.2</v>
      </c>
    </row>
    <row r="359" ht="15.75" customHeight="1">
      <c r="A359" s="13" t="s">
        <v>623</v>
      </c>
      <c r="B359" s="13" t="s">
        <v>1648</v>
      </c>
      <c r="C359" s="9" t="s">
        <v>1708</v>
      </c>
      <c r="D359" s="121">
        <v>199.0</v>
      </c>
      <c r="E359" s="121">
        <f t="shared" si="2"/>
        <v>159.2</v>
      </c>
    </row>
    <row r="360" ht="15.75" customHeight="1">
      <c r="A360" s="13" t="s">
        <v>40</v>
      </c>
      <c r="B360" s="13" t="s">
        <v>1712</v>
      </c>
      <c r="C360" s="9" t="s">
        <v>1708</v>
      </c>
      <c r="D360" s="121">
        <v>999.0</v>
      </c>
      <c r="E360" s="121">
        <f t="shared" si="2"/>
        <v>799.2</v>
      </c>
    </row>
    <row r="361" ht="15.75" customHeight="1">
      <c r="A361" s="13" t="s">
        <v>1713</v>
      </c>
      <c r="B361" s="13" t="s">
        <v>1714</v>
      </c>
      <c r="C361" s="9" t="s">
        <v>1708</v>
      </c>
      <c r="D361" s="121">
        <v>699.0</v>
      </c>
      <c r="E361" s="121">
        <f t="shared" si="2"/>
        <v>559.2</v>
      </c>
    </row>
    <row r="362" ht="15.75" customHeight="1">
      <c r="A362" s="9" t="s">
        <v>1715</v>
      </c>
      <c r="B362" s="9" t="s">
        <v>256</v>
      </c>
      <c r="C362" s="9" t="s">
        <v>1716</v>
      </c>
      <c r="D362" s="121">
        <v>599.0</v>
      </c>
      <c r="E362" s="121">
        <f t="shared" si="2"/>
        <v>479.2</v>
      </c>
    </row>
    <row r="363" ht="15.75" customHeight="1">
      <c r="A363" s="9" t="s">
        <v>1717</v>
      </c>
      <c r="B363" s="9" t="s">
        <v>259</v>
      </c>
      <c r="C363" s="9" t="s">
        <v>1716</v>
      </c>
      <c r="D363" s="121">
        <v>1159.0</v>
      </c>
      <c r="E363" s="121">
        <f t="shared" si="2"/>
        <v>927.2</v>
      </c>
    </row>
    <row r="364" ht="15.75" customHeight="1">
      <c r="A364" s="13" t="s">
        <v>1718</v>
      </c>
      <c r="B364" s="13" t="s">
        <v>69</v>
      </c>
      <c r="C364" s="9" t="s">
        <v>1716</v>
      </c>
      <c r="D364" s="121">
        <v>879.0</v>
      </c>
      <c r="E364" s="121">
        <f t="shared" si="2"/>
        <v>703.2</v>
      </c>
    </row>
    <row r="365" ht="15.75" customHeight="1">
      <c r="A365" s="13" t="s">
        <v>1719</v>
      </c>
      <c r="B365" s="13" t="s">
        <v>72</v>
      </c>
      <c r="C365" s="9" t="s">
        <v>1716</v>
      </c>
      <c r="D365" s="121">
        <v>1494.0</v>
      </c>
      <c r="E365" s="121">
        <f t="shared" si="2"/>
        <v>1195.2</v>
      </c>
    </row>
    <row r="366" ht="15.75" customHeight="1">
      <c r="A366" s="13" t="s">
        <v>1720</v>
      </c>
      <c r="B366" s="13" t="s">
        <v>74</v>
      </c>
      <c r="C366" s="9" t="s">
        <v>1716</v>
      </c>
      <c r="D366" s="121">
        <v>2461.0</v>
      </c>
      <c r="E366" s="121">
        <f t="shared" si="2"/>
        <v>1968.8</v>
      </c>
    </row>
    <row r="367" ht="15.75" customHeight="1">
      <c r="A367" s="9" t="s">
        <v>33</v>
      </c>
      <c r="B367" s="13" t="s">
        <v>1721</v>
      </c>
      <c r="C367" s="9" t="s">
        <v>1716</v>
      </c>
      <c r="D367" s="121">
        <v>200.0</v>
      </c>
      <c r="E367" s="121">
        <f t="shared" si="2"/>
        <v>160</v>
      </c>
    </row>
    <row r="368" ht="15.75" customHeight="1">
      <c r="A368" s="13" t="s">
        <v>36</v>
      </c>
      <c r="B368" s="13" t="s">
        <v>109</v>
      </c>
      <c r="C368" s="9" t="s">
        <v>1716</v>
      </c>
      <c r="D368" s="121">
        <v>400.0</v>
      </c>
      <c r="E368" s="121">
        <f t="shared" si="2"/>
        <v>320</v>
      </c>
    </row>
    <row r="369" ht="15.75" customHeight="1">
      <c r="A369" s="13" t="s">
        <v>38</v>
      </c>
      <c r="B369" s="13" t="s">
        <v>111</v>
      </c>
      <c r="C369" s="9" t="s">
        <v>1716</v>
      </c>
      <c r="D369" s="121">
        <v>600.0</v>
      </c>
      <c r="E369" s="121">
        <f t="shared" si="2"/>
        <v>480</v>
      </c>
    </row>
    <row r="370" ht="15.75" customHeight="1">
      <c r="A370" s="9" t="s">
        <v>1715</v>
      </c>
      <c r="B370" s="9" t="s">
        <v>256</v>
      </c>
      <c r="C370" s="9" t="s">
        <v>1722</v>
      </c>
      <c r="D370" s="121">
        <v>599.0</v>
      </c>
      <c r="E370" s="121">
        <f t="shared" si="2"/>
        <v>479.2</v>
      </c>
    </row>
    <row r="371" ht="15.75" customHeight="1">
      <c r="A371" s="9" t="s">
        <v>1717</v>
      </c>
      <c r="B371" s="9" t="s">
        <v>259</v>
      </c>
      <c r="C371" s="9" t="s">
        <v>1722</v>
      </c>
      <c r="D371" s="121">
        <v>1159.0</v>
      </c>
      <c r="E371" s="121">
        <f t="shared" si="2"/>
        <v>927.2</v>
      </c>
    </row>
    <row r="372" ht="15.75" customHeight="1">
      <c r="A372" s="13" t="s">
        <v>1718</v>
      </c>
      <c r="B372" s="13" t="s">
        <v>69</v>
      </c>
      <c r="C372" s="9" t="s">
        <v>1722</v>
      </c>
      <c r="D372" s="121">
        <v>879.0</v>
      </c>
      <c r="E372" s="121">
        <f t="shared" si="2"/>
        <v>703.2</v>
      </c>
    </row>
    <row r="373" ht="15.75" customHeight="1">
      <c r="A373" s="13" t="s">
        <v>1719</v>
      </c>
      <c r="B373" s="13" t="s">
        <v>72</v>
      </c>
      <c r="C373" s="9" t="s">
        <v>1722</v>
      </c>
      <c r="D373" s="121">
        <v>1494.0</v>
      </c>
      <c r="E373" s="121">
        <f t="shared" si="2"/>
        <v>1195.2</v>
      </c>
    </row>
    <row r="374" ht="15.75" customHeight="1">
      <c r="A374" s="13" t="s">
        <v>1720</v>
      </c>
      <c r="B374" s="13" t="s">
        <v>74</v>
      </c>
      <c r="C374" s="9" t="s">
        <v>1722</v>
      </c>
      <c r="D374" s="121">
        <v>2461.0</v>
      </c>
      <c r="E374" s="121">
        <f t="shared" si="2"/>
        <v>1968.8</v>
      </c>
    </row>
    <row r="375" ht="15.75" customHeight="1">
      <c r="A375" s="9" t="s">
        <v>33</v>
      </c>
      <c r="B375" s="13" t="s">
        <v>1721</v>
      </c>
      <c r="C375" s="9" t="s">
        <v>1722</v>
      </c>
      <c r="D375" s="121">
        <v>200.0</v>
      </c>
      <c r="E375" s="121">
        <f t="shared" si="2"/>
        <v>160</v>
      </c>
    </row>
    <row r="376" ht="15.75" customHeight="1">
      <c r="A376" s="13" t="s">
        <v>36</v>
      </c>
      <c r="B376" s="13" t="s">
        <v>109</v>
      </c>
      <c r="C376" s="9" t="s">
        <v>1722</v>
      </c>
      <c r="D376" s="121">
        <v>400.0</v>
      </c>
      <c r="E376" s="121">
        <f t="shared" si="2"/>
        <v>320</v>
      </c>
    </row>
    <row r="377" ht="15.75" customHeight="1">
      <c r="A377" s="13" t="s">
        <v>38</v>
      </c>
      <c r="B377" s="13" t="s">
        <v>111</v>
      </c>
      <c r="C377" s="9" t="s">
        <v>1722</v>
      </c>
      <c r="D377" s="121">
        <v>600.0</v>
      </c>
      <c r="E377" s="121">
        <f t="shared" si="2"/>
        <v>480</v>
      </c>
    </row>
    <row r="378" ht="15.75" customHeight="1">
      <c r="A378" s="9" t="s">
        <v>1687</v>
      </c>
      <c r="B378" s="9" t="s">
        <v>256</v>
      </c>
      <c r="C378" s="13" t="s">
        <v>1723</v>
      </c>
      <c r="D378" s="121">
        <v>469.0</v>
      </c>
      <c r="E378" s="121">
        <f t="shared" si="2"/>
        <v>375.2</v>
      </c>
    </row>
    <row r="379" ht="15.75" customHeight="1">
      <c r="A379" s="9" t="s">
        <v>1689</v>
      </c>
      <c r="B379" s="9" t="s">
        <v>259</v>
      </c>
      <c r="C379" s="13" t="s">
        <v>1723</v>
      </c>
      <c r="D379" s="121">
        <v>939.0</v>
      </c>
      <c r="E379" s="121">
        <f t="shared" si="2"/>
        <v>751.2</v>
      </c>
    </row>
    <row r="380" ht="15.75" customHeight="1">
      <c r="A380" s="13" t="s">
        <v>1724</v>
      </c>
      <c r="B380" s="13" t="s">
        <v>69</v>
      </c>
      <c r="C380" s="13" t="s">
        <v>1723</v>
      </c>
      <c r="D380" s="121">
        <v>869.0</v>
      </c>
      <c r="E380" s="121">
        <f t="shared" si="2"/>
        <v>695.2</v>
      </c>
    </row>
    <row r="381" ht="15.75" customHeight="1">
      <c r="A381" s="13" t="s">
        <v>1725</v>
      </c>
      <c r="B381" s="13" t="s">
        <v>72</v>
      </c>
      <c r="C381" s="13" t="s">
        <v>1723</v>
      </c>
      <c r="D381" s="121">
        <v>1477.0</v>
      </c>
      <c r="E381" s="121">
        <f t="shared" si="2"/>
        <v>1181.6</v>
      </c>
    </row>
    <row r="382" ht="15.75" customHeight="1">
      <c r="A382" s="13" t="s">
        <v>1726</v>
      </c>
      <c r="B382" s="13" t="s">
        <v>74</v>
      </c>
      <c r="C382" s="13" t="s">
        <v>1723</v>
      </c>
      <c r="D382" s="121">
        <v>2433.0</v>
      </c>
      <c r="E382" s="121">
        <f t="shared" si="2"/>
        <v>1946.4</v>
      </c>
    </row>
    <row r="383" ht="15.75" customHeight="1">
      <c r="A383" s="9" t="s">
        <v>235</v>
      </c>
      <c r="B383" s="9" t="s">
        <v>539</v>
      </c>
      <c r="C383" s="13" t="s">
        <v>1723</v>
      </c>
      <c r="D383" s="121">
        <v>999.0</v>
      </c>
      <c r="E383" s="121">
        <f t="shared" si="2"/>
        <v>799.2</v>
      </c>
    </row>
    <row r="384" ht="15.75" customHeight="1">
      <c r="A384" s="9" t="s">
        <v>163</v>
      </c>
      <c r="B384" s="9" t="s">
        <v>11</v>
      </c>
      <c r="C384" s="9" t="s">
        <v>1727</v>
      </c>
      <c r="D384" s="121">
        <v>49.0</v>
      </c>
      <c r="E384" s="121">
        <f t="shared" si="2"/>
        <v>39.2</v>
      </c>
    </row>
    <row r="385" ht="15.75" customHeight="1">
      <c r="A385" s="9" t="s">
        <v>165</v>
      </c>
      <c r="B385" s="9" t="s">
        <v>15</v>
      </c>
      <c r="C385" s="9" t="s">
        <v>1727</v>
      </c>
      <c r="D385" s="121">
        <v>98.0</v>
      </c>
      <c r="E385" s="121">
        <f t="shared" si="2"/>
        <v>78.4</v>
      </c>
    </row>
    <row r="386" ht="15.75" customHeight="1">
      <c r="A386" s="9" t="s">
        <v>166</v>
      </c>
      <c r="B386" s="9" t="s">
        <v>17</v>
      </c>
      <c r="C386" s="9" t="s">
        <v>1727</v>
      </c>
      <c r="D386" s="121">
        <v>196.0</v>
      </c>
      <c r="E386" s="121">
        <f t="shared" si="2"/>
        <v>156.8</v>
      </c>
    </row>
    <row r="387" ht="15.75" customHeight="1">
      <c r="A387" s="13" t="s">
        <v>167</v>
      </c>
      <c r="B387" s="13" t="s">
        <v>19</v>
      </c>
      <c r="C387" s="9" t="s">
        <v>1727</v>
      </c>
      <c r="D387" s="121">
        <v>59.0</v>
      </c>
      <c r="E387" s="121">
        <f t="shared" si="2"/>
        <v>47.2</v>
      </c>
    </row>
    <row r="388" ht="15.75" customHeight="1">
      <c r="A388" s="13" t="s">
        <v>169</v>
      </c>
      <c r="B388" s="13" t="s">
        <v>22</v>
      </c>
      <c r="C388" s="9" t="s">
        <v>1727</v>
      </c>
      <c r="D388" s="121">
        <v>100.0</v>
      </c>
      <c r="E388" s="121">
        <f t="shared" si="2"/>
        <v>80</v>
      </c>
    </row>
    <row r="389" ht="15.75" customHeight="1">
      <c r="A389" s="13" t="s">
        <v>170</v>
      </c>
      <c r="B389" s="13" t="s">
        <v>24</v>
      </c>
      <c r="C389" s="9" t="s">
        <v>1727</v>
      </c>
      <c r="D389" s="121">
        <v>165.0</v>
      </c>
      <c r="E389" s="121">
        <f t="shared" si="2"/>
        <v>132</v>
      </c>
    </row>
    <row r="390" ht="15.75" customHeight="1">
      <c r="A390" s="9" t="s">
        <v>453</v>
      </c>
      <c r="B390" s="13" t="s">
        <v>1728</v>
      </c>
      <c r="C390" s="9" t="s">
        <v>1727</v>
      </c>
      <c r="D390" s="121">
        <v>99.0</v>
      </c>
      <c r="E390" s="121">
        <f t="shared" si="2"/>
        <v>79.2</v>
      </c>
    </row>
    <row r="391" ht="15.75" customHeight="1">
      <c r="A391" s="9" t="s">
        <v>33</v>
      </c>
      <c r="B391" s="13" t="s">
        <v>34</v>
      </c>
      <c r="C391" s="9" t="s">
        <v>1727</v>
      </c>
      <c r="D391" s="121">
        <v>200.0</v>
      </c>
      <c r="E391" s="121">
        <f t="shared" si="2"/>
        <v>160</v>
      </c>
    </row>
    <row r="392" ht="15.75" customHeight="1">
      <c r="A392" s="9" t="s">
        <v>731</v>
      </c>
      <c r="B392" s="9" t="s">
        <v>732</v>
      </c>
      <c r="C392" s="7" t="s">
        <v>1729</v>
      </c>
      <c r="D392" s="121">
        <v>29.0</v>
      </c>
      <c r="E392" s="121">
        <f t="shared" si="2"/>
        <v>23.2</v>
      </c>
    </row>
    <row r="393" ht="15.75" customHeight="1">
      <c r="A393" s="9" t="s">
        <v>734</v>
      </c>
      <c r="B393" s="9" t="s">
        <v>735</v>
      </c>
      <c r="C393" s="7" t="s">
        <v>1729</v>
      </c>
      <c r="D393" s="121">
        <v>49.0</v>
      </c>
      <c r="E393" s="121">
        <f t="shared" si="2"/>
        <v>39.2</v>
      </c>
    </row>
    <row r="394" ht="15.75" customHeight="1">
      <c r="A394" s="7" t="s">
        <v>1730</v>
      </c>
      <c r="B394" s="9" t="s">
        <v>256</v>
      </c>
      <c r="C394" s="7" t="s">
        <v>1729</v>
      </c>
      <c r="D394" s="121">
        <v>119.0</v>
      </c>
      <c r="E394" s="121">
        <f t="shared" si="2"/>
        <v>95.2</v>
      </c>
    </row>
    <row r="395" ht="15.75" customHeight="1">
      <c r="A395" s="7" t="s">
        <v>1731</v>
      </c>
      <c r="B395" s="9" t="s">
        <v>259</v>
      </c>
      <c r="C395" s="7" t="s">
        <v>1729</v>
      </c>
      <c r="D395" s="121">
        <v>219.0</v>
      </c>
      <c r="E395" s="121">
        <f t="shared" si="2"/>
        <v>175.2</v>
      </c>
    </row>
    <row r="396" ht="15.75" customHeight="1">
      <c r="A396" s="13" t="s">
        <v>419</v>
      </c>
      <c r="B396" s="9" t="s">
        <v>69</v>
      </c>
      <c r="C396" s="7" t="s">
        <v>1729</v>
      </c>
      <c r="D396" s="121">
        <v>199.0</v>
      </c>
      <c r="E396" s="121">
        <f t="shared" si="2"/>
        <v>159.2</v>
      </c>
    </row>
    <row r="397" ht="15.75" customHeight="1">
      <c r="A397" s="13" t="s">
        <v>421</v>
      </c>
      <c r="B397" s="9" t="s">
        <v>72</v>
      </c>
      <c r="C397" s="7" t="s">
        <v>1729</v>
      </c>
      <c r="D397" s="121">
        <v>339.0</v>
      </c>
      <c r="E397" s="121">
        <f t="shared" si="2"/>
        <v>271.2</v>
      </c>
    </row>
    <row r="398" ht="15.75" customHeight="1">
      <c r="A398" s="13" t="s">
        <v>422</v>
      </c>
      <c r="B398" s="9" t="s">
        <v>74</v>
      </c>
      <c r="C398" s="7" t="s">
        <v>1729</v>
      </c>
      <c r="D398" s="121">
        <v>558.0</v>
      </c>
      <c r="E398" s="121">
        <f t="shared" si="2"/>
        <v>446.4</v>
      </c>
    </row>
    <row r="399" ht="15.75" customHeight="1">
      <c r="A399" s="9" t="s">
        <v>409</v>
      </c>
      <c r="B399" s="9" t="s">
        <v>256</v>
      </c>
      <c r="C399" s="9" t="s">
        <v>1732</v>
      </c>
      <c r="D399" s="121">
        <v>89.0</v>
      </c>
      <c r="E399" s="121">
        <f t="shared" si="2"/>
        <v>71.2</v>
      </c>
    </row>
    <row r="400" ht="15.75" customHeight="1">
      <c r="A400" s="9" t="s">
        <v>411</v>
      </c>
      <c r="B400" s="9" t="s">
        <v>259</v>
      </c>
      <c r="C400" s="9" t="s">
        <v>1732</v>
      </c>
      <c r="D400" s="121">
        <v>169.0</v>
      </c>
      <c r="E400" s="121">
        <f t="shared" si="2"/>
        <v>135.2</v>
      </c>
    </row>
    <row r="401" ht="15.75" customHeight="1">
      <c r="A401" s="13" t="s">
        <v>415</v>
      </c>
      <c r="B401" s="9" t="s">
        <v>69</v>
      </c>
      <c r="C401" s="9" t="s">
        <v>1732</v>
      </c>
      <c r="D401" s="121">
        <v>129.0</v>
      </c>
      <c r="E401" s="121">
        <f t="shared" si="2"/>
        <v>103.2</v>
      </c>
    </row>
    <row r="402" ht="15.75" customHeight="1">
      <c r="A402" s="13" t="s">
        <v>417</v>
      </c>
      <c r="B402" s="9" t="s">
        <v>72</v>
      </c>
      <c r="C402" s="9" t="s">
        <v>1732</v>
      </c>
      <c r="D402" s="121">
        <v>220.0</v>
      </c>
      <c r="E402" s="121">
        <f t="shared" si="2"/>
        <v>176</v>
      </c>
    </row>
    <row r="403" ht="15.75" customHeight="1">
      <c r="A403" s="13" t="s">
        <v>418</v>
      </c>
      <c r="B403" s="9" t="s">
        <v>74</v>
      </c>
      <c r="C403" s="9" t="s">
        <v>1732</v>
      </c>
      <c r="D403" s="121">
        <v>362.0</v>
      </c>
      <c r="E403" s="121">
        <f t="shared" si="2"/>
        <v>289.6</v>
      </c>
    </row>
    <row r="404" ht="15.75" customHeight="1">
      <c r="A404" s="9" t="s">
        <v>333</v>
      </c>
      <c r="B404" s="9" t="s">
        <v>76</v>
      </c>
      <c r="C404" s="9" t="s">
        <v>1733</v>
      </c>
      <c r="D404" s="121">
        <v>299.0</v>
      </c>
      <c r="E404" s="121">
        <f t="shared" si="2"/>
        <v>239.2</v>
      </c>
    </row>
    <row r="405" ht="15.75" customHeight="1">
      <c r="A405" s="9" t="s">
        <v>335</v>
      </c>
      <c r="B405" s="9" t="s">
        <v>79</v>
      </c>
      <c r="C405" s="9" t="s">
        <v>1733</v>
      </c>
      <c r="D405" s="121">
        <v>589.0</v>
      </c>
      <c r="E405" s="121">
        <f t="shared" si="2"/>
        <v>471.2</v>
      </c>
    </row>
    <row r="406" ht="15.75" customHeight="1">
      <c r="A406" s="9" t="s">
        <v>336</v>
      </c>
      <c r="B406" s="13" t="s">
        <v>69</v>
      </c>
      <c r="C406" s="9" t="s">
        <v>1733</v>
      </c>
      <c r="D406" s="121">
        <v>369.0</v>
      </c>
      <c r="E406" s="121">
        <f t="shared" si="2"/>
        <v>295.2</v>
      </c>
    </row>
    <row r="407" ht="15.75" customHeight="1">
      <c r="A407" s="9" t="s">
        <v>337</v>
      </c>
      <c r="B407" s="13" t="s">
        <v>72</v>
      </c>
      <c r="C407" s="9" t="s">
        <v>1733</v>
      </c>
      <c r="D407" s="121">
        <v>627.0</v>
      </c>
      <c r="E407" s="121">
        <f t="shared" si="2"/>
        <v>501.6</v>
      </c>
    </row>
    <row r="408" ht="15.75" customHeight="1">
      <c r="A408" s="9" t="s">
        <v>338</v>
      </c>
      <c r="B408" s="13" t="s">
        <v>74</v>
      </c>
      <c r="C408" s="9" t="s">
        <v>1733</v>
      </c>
      <c r="D408" s="121">
        <v>1033.0</v>
      </c>
      <c r="E408" s="121">
        <f t="shared" si="2"/>
        <v>826.4</v>
      </c>
    </row>
    <row r="409" ht="15.75" customHeight="1">
      <c r="A409" s="9" t="s">
        <v>1734</v>
      </c>
      <c r="B409" s="9" t="s">
        <v>63</v>
      </c>
      <c r="C409" s="9" t="s">
        <v>1735</v>
      </c>
      <c r="D409" s="121">
        <v>900.0</v>
      </c>
      <c r="E409" s="121">
        <f t="shared" si="2"/>
        <v>720</v>
      </c>
    </row>
    <row r="410" ht="15.75" customHeight="1">
      <c r="A410" s="9" t="s">
        <v>1736</v>
      </c>
      <c r="B410" s="9" t="s">
        <v>1472</v>
      </c>
      <c r="C410" s="9" t="s">
        <v>1735</v>
      </c>
      <c r="D410" s="121">
        <v>999.0</v>
      </c>
      <c r="E410" s="121">
        <f t="shared" si="2"/>
        <v>799.2</v>
      </c>
    </row>
    <row r="411" ht="15.75" customHeight="1">
      <c r="A411" s="13" t="s">
        <v>1737</v>
      </c>
      <c r="B411" s="13" t="s">
        <v>69</v>
      </c>
      <c r="C411" s="9" t="s">
        <v>1735</v>
      </c>
      <c r="D411" s="121">
        <v>499.0</v>
      </c>
      <c r="E411" s="121">
        <f t="shared" si="2"/>
        <v>399.2</v>
      </c>
    </row>
    <row r="412" ht="15.75" customHeight="1">
      <c r="A412" s="13" t="s">
        <v>1738</v>
      </c>
      <c r="B412" s="13" t="s">
        <v>72</v>
      </c>
      <c r="C412" s="9" t="s">
        <v>1735</v>
      </c>
      <c r="D412" s="121">
        <v>848.0</v>
      </c>
      <c r="E412" s="121">
        <f t="shared" si="2"/>
        <v>678.4</v>
      </c>
    </row>
    <row r="413" ht="15.75" customHeight="1">
      <c r="A413" s="13" t="s">
        <v>1739</v>
      </c>
      <c r="B413" s="13" t="s">
        <v>74</v>
      </c>
      <c r="C413" s="9" t="s">
        <v>1735</v>
      </c>
      <c r="D413" s="121">
        <v>1397.0</v>
      </c>
      <c r="E413" s="121">
        <f t="shared" si="2"/>
        <v>1117.6</v>
      </c>
    </row>
    <row r="414" ht="15.75" customHeight="1">
      <c r="A414" s="9" t="s">
        <v>1740</v>
      </c>
      <c r="B414" s="9" t="s">
        <v>76</v>
      </c>
      <c r="C414" s="9" t="s">
        <v>1735</v>
      </c>
      <c r="D414" s="121">
        <v>339.0</v>
      </c>
      <c r="E414" s="121">
        <f t="shared" si="2"/>
        <v>271.2</v>
      </c>
    </row>
    <row r="415" ht="15.75" customHeight="1">
      <c r="A415" s="9" t="s">
        <v>1741</v>
      </c>
      <c r="B415" s="9" t="s">
        <v>79</v>
      </c>
      <c r="C415" s="9" t="s">
        <v>1735</v>
      </c>
      <c r="D415" s="121">
        <v>659.0</v>
      </c>
      <c r="E415" s="121">
        <f t="shared" si="2"/>
        <v>527.2</v>
      </c>
    </row>
    <row r="416" ht="15.75" customHeight="1">
      <c r="A416" s="9" t="s">
        <v>1742</v>
      </c>
      <c r="B416" s="9" t="s">
        <v>63</v>
      </c>
      <c r="C416" s="9" t="s">
        <v>1743</v>
      </c>
      <c r="D416" s="121">
        <v>1350.0</v>
      </c>
      <c r="E416" s="121">
        <f t="shared" si="2"/>
        <v>1080</v>
      </c>
    </row>
    <row r="417" ht="15.75" customHeight="1">
      <c r="A417" s="9" t="s">
        <v>65</v>
      </c>
      <c r="B417" s="9" t="s">
        <v>66</v>
      </c>
      <c r="C417" s="9" t="s">
        <v>1743</v>
      </c>
      <c r="D417" s="121">
        <v>999.0</v>
      </c>
      <c r="E417" s="121">
        <f t="shared" si="2"/>
        <v>799.2</v>
      </c>
    </row>
    <row r="418" ht="15.75" customHeight="1">
      <c r="A418" s="13" t="s">
        <v>1744</v>
      </c>
      <c r="B418" s="13" t="s">
        <v>69</v>
      </c>
      <c r="C418" s="9" t="s">
        <v>1743</v>
      </c>
      <c r="D418" s="121">
        <v>749.0</v>
      </c>
      <c r="E418" s="121">
        <f t="shared" si="2"/>
        <v>599.2</v>
      </c>
    </row>
    <row r="419" ht="15.75" customHeight="1">
      <c r="A419" s="13" t="s">
        <v>1745</v>
      </c>
      <c r="B419" s="13" t="s">
        <v>72</v>
      </c>
      <c r="C419" s="9" t="s">
        <v>1743</v>
      </c>
      <c r="D419" s="121">
        <v>1273.0</v>
      </c>
      <c r="E419" s="121">
        <f t="shared" si="2"/>
        <v>1018.4</v>
      </c>
    </row>
    <row r="420" ht="15.75" customHeight="1">
      <c r="A420" s="13" t="s">
        <v>1746</v>
      </c>
      <c r="B420" s="13" t="s">
        <v>74</v>
      </c>
      <c r="C420" s="9" t="s">
        <v>1743</v>
      </c>
      <c r="D420" s="121">
        <v>2097.0</v>
      </c>
      <c r="E420" s="121">
        <f t="shared" si="2"/>
        <v>1677.6</v>
      </c>
    </row>
    <row r="421" ht="15.75" customHeight="1">
      <c r="A421" s="9" t="s">
        <v>1747</v>
      </c>
      <c r="B421" s="9" t="s">
        <v>76</v>
      </c>
      <c r="C421" s="9" t="s">
        <v>1743</v>
      </c>
      <c r="D421" s="121">
        <v>509.0</v>
      </c>
      <c r="E421" s="121">
        <f t="shared" si="2"/>
        <v>407.2</v>
      </c>
    </row>
    <row r="422" ht="15.75" customHeight="1">
      <c r="A422" s="9" t="s">
        <v>1748</v>
      </c>
      <c r="B422" s="9" t="s">
        <v>79</v>
      </c>
      <c r="C422" s="9" t="s">
        <v>1743</v>
      </c>
      <c r="D422" s="121">
        <v>989.0</v>
      </c>
      <c r="E422" s="121">
        <f t="shared" si="2"/>
        <v>791.2</v>
      </c>
    </row>
    <row r="423" ht="15.75" customHeight="1">
      <c r="A423" s="9" t="s">
        <v>65</v>
      </c>
      <c r="B423" s="9" t="s">
        <v>66</v>
      </c>
      <c r="C423" s="7" t="s">
        <v>1749</v>
      </c>
      <c r="D423" s="121">
        <v>999.0</v>
      </c>
      <c r="E423" s="121">
        <f t="shared" si="2"/>
        <v>799.2</v>
      </c>
    </row>
    <row r="424" ht="15.75" customHeight="1">
      <c r="A424" s="13" t="s">
        <v>1750</v>
      </c>
      <c r="B424" s="13" t="s">
        <v>69</v>
      </c>
      <c r="C424" s="7" t="s">
        <v>1749</v>
      </c>
      <c r="D424" s="121">
        <v>999.0</v>
      </c>
      <c r="E424" s="121">
        <f t="shared" si="2"/>
        <v>799.2</v>
      </c>
    </row>
    <row r="425" ht="15.75" customHeight="1">
      <c r="A425" s="13" t="s">
        <v>1751</v>
      </c>
      <c r="B425" s="13" t="s">
        <v>72</v>
      </c>
      <c r="C425" s="7" t="s">
        <v>1749</v>
      </c>
      <c r="D425" s="121">
        <v>1698.0</v>
      </c>
      <c r="E425" s="121">
        <f t="shared" si="2"/>
        <v>1358.4</v>
      </c>
    </row>
    <row r="426" ht="15.75" customHeight="1">
      <c r="A426" s="13" t="s">
        <v>1752</v>
      </c>
      <c r="B426" s="13" t="s">
        <v>74</v>
      </c>
      <c r="C426" s="7" t="s">
        <v>1749</v>
      </c>
      <c r="D426" s="121">
        <v>2797.0</v>
      </c>
      <c r="E426" s="121">
        <f t="shared" si="2"/>
        <v>2237.6</v>
      </c>
    </row>
    <row r="427" ht="15.75" customHeight="1">
      <c r="A427" s="7" t="s">
        <v>1753</v>
      </c>
      <c r="B427" s="9" t="s">
        <v>76</v>
      </c>
      <c r="C427" s="7" t="s">
        <v>1749</v>
      </c>
      <c r="D427" s="121">
        <v>679.0</v>
      </c>
      <c r="E427" s="121">
        <f t="shared" si="2"/>
        <v>543.2</v>
      </c>
    </row>
    <row r="428" ht="15.75" customHeight="1">
      <c r="A428" s="7" t="s">
        <v>1754</v>
      </c>
      <c r="B428" s="9" t="s">
        <v>79</v>
      </c>
      <c r="C428" s="7" t="s">
        <v>1749</v>
      </c>
      <c r="D428" s="121">
        <v>1319.0</v>
      </c>
      <c r="E428" s="121">
        <f t="shared" si="2"/>
        <v>1055.2</v>
      </c>
    </row>
    <row r="429" ht="15.75" customHeight="1">
      <c r="A429" s="9" t="s">
        <v>1755</v>
      </c>
      <c r="B429" s="9" t="s">
        <v>256</v>
      </c>
      <c r="C429" s="7" t="s">
        <v>1756</v>
      </c>
      <c r="D429" s="121">
        <v>109.0</v>
      </c>
      <c r="E429" s="121">
        <f t="shared" si="2"/>
        <v>87.2</v>
      </c>
    </row>
    <row r="430" ht="15.75" customHeight="1">
      <c r="A430" s="9" t="s">
        <v>1757</v>
      </c>
      <c r="B430" s="9" t="s">
        <v>259</v>
      </c>
      <c r="C430" s="7" t="s">
        <v>1756</v>
      </c>
      <c r="D430" s="121">
        <v>199.0</v>
      </c>
      <c r="E430" s="121">
        <f t="shared" si="2"/>
        <v>159.2</v>
      </c>
    </row>
    <row r="431" ht="15.75" customHeight="1">
      <c r="A431" s="13" t="s">
        <v>419</v>
      </c>
      <c r="B431" s="9" t="s">
        <v>69</v>
      </c>
      <c r="C431" s="7" t="s">
        <v>1756</v>
      </c>
      <c r="D431" s="121">
        <v>199.0</v>
      </c>
      <c r="E431" s="121">
        <f t="shared" si="2"/>
        <v>159.2</v>
      </c>
    </row>
    <row r="432" ht="15.75" customHeight="1">
      <c r="A432" s="13" t="s">
        <v>421</v>
      </c>
      <c r="B432" s="9" t="s">
        <v>72</v>
      </c>
      <c r="C432" s="7" t="s">
        <v>1756</v>
      </c>
      <c r="D432" s="121">
        <v>339.0</v>
      </c>
      <c r="E432" s="121">
        <f t="shared" si="2"/>
        <v>271.2</v>
      </c>
    </row>
    <row r="433" ht="15.75" customHeight="1">
      <c r="A433" s="13" t="s">
        <v>422</v>
      </c>
      <c r="B433" s="9" t="s">
        <v>74</v>
      </c>
      <c r="C433" s="7" t="s">
        <v>1756</v>
      </c>
      <c r="D433" s="121">
        <v>558.0</v>
      </c>
      <c r="E433" s="121">
        <f t="shared" si="2"/>
        <v>446.4</v>
      </c>
    </row>
    <row r="434" ht="15.75" customHeight="1">
      <c r="A434" s="9" t="s">
        <v>1453</v>
      </c>
      <c r="B434" s="9" t="s">
        <v>732</v>
      </c>
      <c r="C434" s="7" t="s">
        <v>1756</v>
      </c>
      <c r="D434" s="121">
        <v>69.0</v>
      </c>
      <c r="E434" s="121">
        <f t="shared" si="2"/>
        <v>55.2</v>
      </c>
    </row>
    <row r="435" ht="15.75" customHeight="1">
      <c r="A435" s="9" t="s">
        <v>1455</v>
      </c>
      <c r="B435" s="9" t="s">
        <v>732</v>
      </c>
      <c r="C435" s="7" t="s">
        <v>1756</v>
      </c>
      <c r="D435" s="121">
        <v>138.0</v>
      </c>
      <c r="E435" s="121">
        <f t="shared" si="2"/>
        <v>110.4</v>
      </c>
    </row>
    <row r="436" ht="15.75" customHeight="1">
      <c r="A436" s="13" t="s">
        <v>1758</v>
      </c>
      <c r="B436" s="9" t="s">
        <v>256</v>
      </c>
      <c r="C436" s="9" t="s">
        <v>1759</v>
      </c>
      <c r="D436" s="121">
        <v>129.0</v>
      </c>
      <c r="E436" s="121">
        <f t="shared" si="2"/>
        <v>103.2</v>
      </c>
    </row>
    <row r="437" ht="15.75" customHeight="1">
      <c r="A437" s="9" t="s">
        <v>1760</v>
      </c>
      <c r="B437" s="9" t="s">
        <v>259</v>
      </c>
      <c r="C437" s="9" t="s">
        <v>1759</v>
      </c>
      <c r="D437" s="121">
        <v>258.0</v>
      </c>
      <c r="E437" s="121">
        <f t="shared" si="2"/>
        <v>206.4</v>
      </c>
    </row>
    <row r="438" ht="15.75" customHeight="1">
      <c r="A438" s="13" t="s">
        <v>419</v>
      </c>
      <c r="B438" s="9" t="s">
        <v>69</v>
      </c>
      <c r="C438" s="9" t="s">
        <v>1759</v>
      </c>
      <c r="D438" s="121">
        <v>199.0</v>
      </c>
      <c r="E438" s="121">
        <f t="shared" si="2"/>
        <v>159.2</v>
      </c>
    </row>
    <row r="439" ht="15.75" customHeight="1">
      <c r="A439" s="13" t="s">
        <v>421</v>
      </c>
      <c r="B439" s="9" t="s">
        <v>72</v>
      </c>
      <c r="C439" s="9" t="s">
        <v>1759</v>
      </c>
      <c r="D439" s="121">
        <v>339.0</v>
      </c>
      <c r="E439" s="121">
        <f t="shared" si="2"/>
        <v>271.2</v>
      </c>
    </row>
    <row r="440" ht="15.75" customHeight="1">
      <c r="A440" s="13" t="s">
        <v>422</v>
      </c>
      <c r="B440" s="9" t="s">
        <v>74</v>
      </c>
      <c r="C440" s="9" t="s">
        <v>1759</v>
      </c>
      <c r="D440" s="121">
        <v>558.0</v>
      </c>
      <c r="E440" s="121">
        <f t="shared" si="2"/>
        <v>446.4</v>
      </c>
    </row>
    <row r="441" ht="15.75" customHeight="1">
      <c r="A441" s="9" t="s">
        <v>1453</v>
      </c>
      <c r="B441" s="9" t="s">
        <v>732</v>
      </c>
      <c r="C441" s="9" t="s">
        <v>1759</v>
      </c>
      <c r="D441" s="121">
        <v>69.0</v>
      </c>
      <c r="E441" s="121">
        <f t="shared" si="2"/>
        <v>55.2</v>
      </c>
    </row>
    <row r="442" ht="15.75" customHeight="1">
      <c r="A442" s="9" t="s">
        <v>1455</v>
      </c>
      <c r="B442" s="9" t="s">
        <v>732</v>
      </c>
      <c r="C442" s="9" t="s">
        <v>1759</v>
      </c>
      <c r="D442" s="121">
        <v>138.0</v>
      </c>
      <c r="E442" s="121">
        <f t="shared" si="2"/>
        <v>110.4</v>
      </c>
    </row>
    <row r="443" ht="15.75" customHeight="1">
      <c r="A443" s="9" t="s">
        <v>1761</v>
      </c>
      <c r="B443" s="9" t="s">
        <v>63</v>
      </c>
      <c r="C443" s="9" t="s">
        <v>1762</v>
      </c>
      <c r="D443" s="121">
        <v>2250.0</v>
      </c>
      <c r="E443" s="121">
        <f t="shared" si="2"/>
        <v>1800</v>
      </c>
    </row>
    <row r="444" ht="15.75" customHeight="1">
      <c r="A444" s="13" t="s">
        <v>1763</v>
      </c>
      <c r="B444" s="13" t="s">
        <v>69</v>
      </c>
      <c r="C444" s="9" t="s">
        <v>1762</v>
      </c>
      <c r="D444" s="121">
        <v>1249.0</v>
      </c>
      <c r="E444" s="121">
        <f t="shared" si="2"/>
        <v>999.2</v>
      </c>
    </row>
    <row r="445" ht="15.75" customHeight="1">
      <c r="A445" s="13" t="s">
        <v>1764</v>
      </c>
      <c r="B445" s="13" t="s">
        <v>72</v>
      </c>
      <c r="C445" s="9" t="s">
        <v>1762</v>
      </c>
      <c r="D445" s="121">
        <v>2123.0</v>
      </c>
      <c r="E445" s="121">
        <f t="shared" si="2"/>
        <v>1698.4</v>
      </c>
    </row>
    <row r="446" ht="15.75" customHeight="1">
      <c r="A446" s="13" t="s">
        <v>1765</v>
      </c>
      <c r="B446" s="13" t="s">
        <v>74</v>
      </c>
      <c r="C446" s="9" t="s">
        <v>1762</v>
      </c>
      <c r="D446" s="121">
        <v>3497.0</v>
      </c>
      <c r="E446" s="121">
        <f t="shared" si="2"/>
        <v>2797.6</v>
      </c>
    </row>
    <row r="447" ht="15.75" customHeight="1">
      <c r="A447" s="9" t="s">
        <v>1766</v>
      </c>
      <c r="B447" s="9" t="s">
        <v>76</v>
      </c>
      <c r="C447" s="9" t="s">
        <v>1762</v>
      </c>
      <c r="D447" s="121">
        <v>849.0</v>
      </c>
      <c r="E447" s="121">
        <f t="shared" si="2"/>
        <v>679.2</v>
      </c>
    </row>
    <row r="448" ht="15.75" customHeight="1">
      <c r="A448" s="9" t="s">
        <v>1767</v>
      </c>
      <c r="B448" s="9" t="s">
        <v>79</v>
      </c>
      <c r="C448" s="9" t="s">
        <v>1762</v>
      </c>
      <c r="D448" s="121">
        <v>1649.0</v>
      </c>
      <c r="E448" s="121">
        <f t="shared" si="2"/>
        <v>1319.2</v>
      </c>
    </row>
    <row r="449" ht="15.75" customHeight="1">
      <c r="A449" s="9" t="s">
        <v>25</v>
      </c>
      <c r="B449" s="13" t="s">
        <v>26</v>
      </c>
      <c r="C449" s="9" t="s">
        <v>1762</v>
      </c>
      <c r="D449" s="121">
        <v>20.0</v>
      </c>
      <c r="E449" s="121">
        <f t="shared" si="2"/>
        <v>16</v>
      </c>
    </row>
    <row r="450" ht="15.75" customHeight="1">
      <c r="A450" s="9" t="s">
        <v>28</v>
      </c>
      <c r="B450" s="13" t="s">
        <v>29</v>
      </c>
      <c r="C450" s="9" t="s">
        <v>1762</v>
      </c>
      <c r="D450" s="121">
        <v>40.0</v>
      </c>
      <c r="E450" s="121">
        <f t="shared" si="2"/>
        <v>32</v>
      </c>
    </row>
    <row r="451" ht="15.75" customHeight="1">
      <c r="A451" s="9" t="s">
        <v>31</v>
      </c>
      <c r="B451" s="13" t="s">
        <v>32</v>
      </c>
      <c r="C451" s="9" t="s">
        <v>1762</v>
      </c>
      <c r="D451" s="121">
        <v>60.0</v>
      </c>
      <c r="E451" s="121">
        <f t="shared" si="2"/>
        <v>48</v>
      </c>
    </row>
    <row r="452" ht="15.75" customHeight="1">
      <c r="A452" s="9" t="s">
        <v>33</v>
      </c>
      <c r="B452" s="9" t="s">
        <v>34</v>
      </c>
      <c r="C452" s="9" t="s">
        <v>1762</v>
      </c>
      <c r="D452" s="121">
        <v>200.0</v>
      </c>
      <c r="E452" s="121">
        <f t="shared" si="2"/>
        <v>160</v>
      </c>
    </row>
    <row r="453" ht="15.75" customHeight="1">
      <c r="A453" s="13" t="s">
        <v>36</v>
      </c>
      <c r="B453" s="13" t="s">
        <v>34</v>
      </c>
      <c r="C453" s="9" t="s">
        <v>1762</v>
      </c>
      <c r="D453" s="121">
        <v>400.0</v>
      </c>
      <c r="E453" s="121">
        <f t="shared" si="2"/>
        <v>320</v>
      </c>
    </row>
    <row r="454" ht="15.75" customHeight="1">
      <c r="A454" s="13" t="s">
        <v>38</v>
      </c>
      <c r="B454" s="13" t="s">
        <v>34</v>
      </c>
      <c r="C454" s="9" t="s">
        <v>1762</v>
      </c>
      <c r="D454" s="121">
        <v>600.0</v>
      </c>
      <c r="E454" s="121">
        <f t="shared" si="2"/>
        <v>480</v>
      </c>
    </row>
    <row r="455" ht="15.75" customHeight="1">
      <c r="D455" s="127"/>
      <c r="E455" s="127"/>
    </row>
    <row r="456" ht="15.75" customHeight="1">
      <c r="D456" s="127"/>
      <c r="E456" s="127"/>
    </row>
    <row r="457" ht="15.75" customHeight="1">
      <c r="D457" s="127"/>
      <c r="E457" s="127"/>
    </row>
    <row r="458" ht="15.75" customHeight="1">
      <c r="D458" s="127"/>
      <c r="E458" s="127"/>
    </row>
    <row r="459" ht="15.75" customHeight="1">
      <c r="D459" s="127"/>
      <c r="E459" s="127"/>
    </row>
    <row r="460" ht="15.75" customHeight="1">
      <c r="D460" s="127"/>
      <c r="E460" s="127"/>
    </row>
    <row r="461" ht="15.75" customHeight="1">
      <c r="D461" s="127"/>
      <c r="E461" s="127"/>
    </row>
    <row r="462" ht="15.75" customHeight="1">
      <c r="D462" s="127"/>
      <c r="E462" s="127"/>
    </row>
    <row r="463" ht="15.75" customHeight="1">
      <c r="D463" s="127"/>
      <c r="E463" s="127"/>
    </row>
    <row r="464" ht="15.75" customHeight="1">
      <c r="D464" s="127"/>
      <c r="E464" s="127"/>
    </row>
    <row r="465" ht="15.75" customHeight="1">
      <c r="D465" s="127"/>
      <c r="E465" s="127"/>
    </row>
    <row r="466" ht="15.75" customHeight="1">
      <c r="D466" s="127"/>
      <c r="E466" s="127"/>
    </row>
    <row r="467" ht="15.75" customHeight="1">
      <c r="D467" s="127"/>
      <c r="E467" s="127"/>
    </row>
    <row r="468" ht="15.75" customHeight="1">
      <c r="D468" s="127"/>
      <c r="E468" s="127"/>
    </row>
    <row r="469" ht="15.75" customHeight="1">
      <c r="D469" s="127"/>
      <c r="E469" s="127"/>
    </row>
    <row r="470" ht="15.75" customHeight="1">
      <c r="D470" s="127"/>
      <c r="E470" s="127"/>
    </row>
    <row r="471" ht="15.75" customHeight="1">
      <c r="D471" s="127"/>
      <c r="E471" s="127"/>
    </row>
    <row r="472" ht="15.75" customHeight="1">
      <c r="D472" s="127"/>
      <c r="E472" s="127"/>
    </row>
    <row r="473" ht="15.75" customHeight="1">
      <c r="D473" s="127"/>
      <c r="E473" s="127"/>
    </row>
    <row r="474" ht="15.75" customHeight="1">
      <c r="D474" s="127"/>
      <c r="E474" s="127"/>
    </row>
    <row r="475" ht="15.75" customHeight="1">
      <c r="D475" s="127"/>
      <c r="E475" s="127"/>
    </row>
    <row r="476" ht="15.75" customHeight="1">
      <c r="D476" s="127"/>
      <c r="E476" s="127"/>
    </row>
    <row r="477" ht="15.75" customHeight="1">
      <c r="D477" s="127"/>
      <c r="E477" s="127"/>
    </row>
    <row r="478" ht="15.75" customHeight="1">
      <c r="D478" s="127"/>
      <c r="E478" s="127"/>
    </row>
    <row r="479" ht="15.75" customHeight="1">
      <c r="D479" s="127"/>
      <c r="E479" s="127"/>
    </row>
    <row r="480" ht="15.75" customHeight="1">
      <c r="D480" s="127"/>
      <c r="E480" s="127"/>
    </row>
    <row r="481" ht="15.75" customHeight="1">
      <c r="D481" s="127"/>
      <c r="E481" s="127"/>
    </row>
    <row r="482" ht="15.75" customHeight="1">
      <c r="D482" s="127"/>
      <c r="E482" s="127"/>
    </row>
    <row r="483" ht="15.75" customHeight="1">
      <c r="D483" s="127"/>
      <c r="E483" s="127"/>
    </row>
    <row r="484" ht="15.75" customHeight="1">
      <c r="D484" s="127"/>
      <c r="E484" s="127"/>
    </row>
    <row r="485" ht="15.75" customHeight="1">
      <c r="D485" s="127"/>
      <c r="E485" s="127"/>
    </row>
    <row r="486" ht="15.75" customHeight="1">
      <c r="D486" s="127"/>
      <c r="E486" s="127"/>
    </row>
    <row r="487" ht="15.75" customHeight="1">
      <c r="D487" s="127"/>
      <c r="E487" s="127"/>
    </row>
    <row r="488" ht="15.75" customHeight="1">
      <c r="D488" s="127"/>
      <c r="E488" s="127"/>
    </row>
    <row r="489" ht="15.75" customHeight="1">
      <c r="D489" s="127"/>
      <c r="E489" s="127"/>
    </row>
    <row r="490" ht="15.75" customHeight="1">
      <c r="D490" s="127"/>
      <c r="E490" s="127"/>
    </row>
    <row r="491" ht="15.75" customHeight="1">
      <c r="D491" s="127"/>
      <c r="E491" s="127"/>
    </row>
    <row r="492" ht="15.75" customHeight="1">
      <c r="D492" s="127"/>
      <c r="E492" s="127"/>
    </row>
    <row r="493" ht="15.75" customHeight="1">
      <c r="D493" s="127"/>
      <c r="E493" s="127"/>
    </row>
    <row r="494" ht="15.75" customHeight="1">
      <c r="D494" s="127"/>
      <c r="E494" s="127"/>
    </row>
    <row r="495" ht="15.75" customHeight="1">
      <c r="D495" s="127"/>
      <c r="E495" s="127"/>
    </row>
    <row r="496" ht="15.75" customHeight="1">
      <c r="D496" s="127"/>
      <c r="E496" s="127"/>
    </row>
    <row r="497" ht="15.75" customHeight="1">
      <c r="D497" s="127"/>
      <c r="E497" s="127"/>
    </row>
    <row r="498" ht="15.75" customHeight="1">
      <c r="D498" s="127"/>
      <c r="E498" s="127"/>
    </row>
    <row r="499" ht="15.75" customHeight="1">
      <c r="D499" s="127"/>
      <c r="E499" s="127"/>
    </row>
    <row r="500" ht="15.75" customHeight="1">
      <c r="D500" s="127"/>
      <c r="E500" s="127"/>
    </row>
    <row r="501" ht="15.75" customHeight="1">
      <c r="D501" s="127"/>
      <c r="E501" s="127"/>
    </row>
    <row r="502" ht="15.75" customHeight="1">
      <c r="D502" s="127"/>
      <c r="E502" s="127"/>
    </row>
    <row r="503" ht="15.75" customHeight="1">
      <c r="D503" s="127"/>
      <c r="E503" s="127"/>
    </row>
    <row r="504" ht="15.75" customHeight="1">
      <c r="D504" s="127"/>
      <c r="E504" s="127"/>
    </row>
    <row r="505" ht="15.75" customHeight="1">
      <c r="D505" s="127"/>
      <c r="E505" s="127"/>
    </row>
    <row r="506" ht="15.75" customHeight="1">
      <c r="D506" s="127"/>
      <c r="E506" s="127"/>
    </row>
    <row r="507" ht="15.75" customHeight="1">
      <c r="D507" s="127"/>
      <c r="E507" s="127"/>
    </row>
    <row r="508" ht="15.75" customHeight="1">
      <c r="D508" s="127"/>
      <c r="E508" s="127"/>
    </row>
    <row r="509" ht="15.75" customHeight="1">
      <c r="D509" s="127"/>
      <c r="E509" s="127"/>
    </row>
    <row r="510" ht="15.75" customHeight="1">
      <c r="D510" s="127"/>
      <c r="E510" s="127"/>
    </row>
    <row r="511" ht="15.75" customHeight="1">
      <c r="D511" s="127"/>
      <c r="E511" s="127"/>
    </row>
    <row r="512" ht="15.75" customHeight="1">
      <c r="D512" s="127"/>
      <c r="E512" s="127"/>
    </row>
    <row r="513" ht="15.75" customHeight="1">
      <c r="D513" s="127"/>
      <c r="E513" s="127"/>
    </row>
    <row r="514" ht="15.75" customHeight="1">
      <c r="D514" s="127"/>
      <c r="E514" s="127"/>
    </row>
    <row r="515" ht="15.75" customHeight="1">
      <c r="D515" s="127"/>
      <c r="E515" s="127"/>
    </row>
    <row r="516" ht="15.75" customHeight="1">
      <c r="D516" s="127"/>
      <c r="E516" s="127"/>
    </row>
    <row r="517" ht="15.75" customHeight="1">
      <c r="D517" s="127"/>
      <c r="E517" s="127"/>
    </row>
    <row r="518" ht="15.75" customHeight="1">
      <c r="D518" s="127"/>
      <c r="E518" s="127"/>
    </row>
    <row r="519" ht="15.75" customHeight="1">
      <c r="D519" s="127"/>
      <c r="E519" s="127"/>
    </row>
    <row r="520" ht="15.75" customHeight="1">
      <c r="D520" s="127"/>
      <c r="E520" s="127"/>
    </row>
    <row r="521" ht="15.75" customHeight="1">
      <c r="D521" s="127"/>
      <c r="E521" s="127"/>
    </row>
    <row r="522" ht="15.75" customHeight="1">
      <c r="D522" s="127"/>
      <c r="E522" s="127"/>
    </row>
    <row r="523" ht="15.75" customHeight="1">
      <c r="D523" s="127"/>
      <c r="E523" s="127"/>
    </row>
    <row r="524" ht="15.75" customHeight="1">
      <c r="D524" s="127"/>
      <c r="E524" s="127"/>
    </row>
    <row r="525" ht="15.75" customHeight="1">
      <c r="D525" s="127"/>
      <c r="E525" s="127"/>
    </row>
    <row r="526" ht="15.75" customHeight="1">
      <c r="D526" s="127"/>
      <c r="E526" s="127"/>
    </row>
    <row r="527" ht="15.75" customHeight="1">
      <c r="D527" s="127"/>
      <c r="E527" s="127"/>
    </row>
    <row r="528" ht="15.75" customHeight="1">
      <c r="D528" s="127"/>
      <c r="E528" s="127"/>
    </row>
    <row r="529" ht="15.75" customHeight="1">
      <c r="D529" s="127"/>
      <c r="E529" s="127"/>
    </row>
    <row r="530" ht="15.75" customHeight="1">
      <c r="D530" s="127"/>
      <c r="E530" s="127"/>
    </row>
    <row r="531" ht="15.75" customHeight="1">
      <c r="D531" s="127"/>
      <c r="E531" s="127"/>
    </row>
    <row r="532" ht="15.75" customHeight="1">
      <c r="D532" s="127"/>
      <c r="E532" s="127"/>
    </row>
    <row r="533" ht="15.75" customHeight="1">
      <c r="D533" s="127"/>
      <c r="E533" s="127"/>
    </row>
    <row r="534" ht="15.75" customHeight="1">
      <c r="D534" s="127"/>
      <c r="E534" s="127"/>
    </row>
    <row r="535" ht="15.75" customHeight="1">
      <c r="D535" s="127"/>
      <c r="E535" s="127"/>
    </row>
    <row r="536" ht="15.75" customHeight="1">
      <c r="D536" s="127"/>
      <c r="E536" s="127"/>
    </row>
    <row r="537" ht="15.75" customHeight="1">
      <c r="D537" s="127"/>
      <c r="E537" s="127"/>
    </row>
    <row r="538" ht="15.75" customHeight="1">
      <c r="D538" s="127"/>
      <c r="E538" s="127"/>
    </row>
    <row r="539" ht="15.75" customHeight="1">
      <c r="D539" s="127"/>
      <c r="E539" s="127"/>
    </row>
    <row r="540" ht="15.75" customHeight="1">
      <c r="D540" s="127"/>
      <c r="E540" s="127"/>
    </row>
    <row r="541" ht="15.75" customHeight="1">
      <c r="D541" s="127"/>
      <c r="E541" s="127"/>
    </row>
    <row r="542" ht="15.75" customHeight="1">
      <c r="D542" s="127"/>
      <c r="E542" s="127"/>
    </row>
    <row r="543" ht="15.75" customHeight="1">
      <c r="D543" s="127"/>
      <c r="E543" s="127"/>
    </row>
    <row r="544" ht="15.75" customHeight="1">
      <c r="D544" s="127"/>
      <c r="E544" s="127"/>
    </row>
    <row r="545" ht="15.75" customHeight="1">
      <c r="D545" s="127"/>
      <c r="E545" s="127"/>
    </row>
    <row r="546" ht="15.75" customHeight="1">
      <c r="D546" s="127"/>
      <c r="E546" s="127"/>
    </row>
    <row r="547" ht="15.75" customHeight="1">
      <c r="D547" s="127"/>
      <c r="E547" s="127"/>
    </row>
    <row r="548" ht="15.75" customHeight="1">
      <c r="D548" s="127"/>
      <c r="E548" s="127"/>
    </row>
    <row r="549" ht="15.75" customHeight="1">
      <c r="D549" s="127"/>
      <c r="E549" s="127"/>
    </row>
    <row r="550" ht="15.75" customHeight="1">
      <c r="D550" s="127"/>
      <c r="E550" s="127"/>
    </row>
    <row r="551" ht="15.75" customHeight="1">
      <c r="D551" s="127"/>
      <c r="E551" s="127"/>
    </row>
    <row r="552" ht="15.75" customHeight="1">
      <c r="D552" s="127"/>
      <c r="E552" s="127"/>
    </row>
    <row r="553" ht="15.75" customHeight="1">
      <c r="D553" s="127"/>
      <c r="E553" s="127"/>
    </row>
    <row r="554" ht="15.75" customHeight="1">
      <c r="D554" s="127"/>
      <c r="E554" s="127"/>
    </row>
    <row r="555" ht="15.75" customHeight="1">
      <c r="D555" s="127"/>
      <c r="E555" s="127"/>
    </row>
    <row r="556" ht="15.75" customHeight="1">
      <c r="D556" s="127"/>
      <c r="E556" s="127"/>
    </row>
    <row r="557" ht="15.75" customHeight="1">
      <c r="D557" s="127"/>
      <c r="E557" s="127"/>
    </row>
    <row r="558" ht="15.75" customHeight="1">
      <c r="D558" s="127"/>
      <c r="E558" s="127"/>
    </row>
    <row r="559" ht="15.75" customHeight="1">
      <c r="D559" s="127"/>
      <c r="E559" s="127"/>
    </row>
    <row r="560" ht="15.75" customHeight="1">
      <c r="D560" s="127"/>
      <c r="E560" s="127"/>
    </row>
    <row r="561" ht="15.75" customHeight="1">
      <c r="D561" s="127"/>
      <c r="E561" s="127"/>
    </row>
    <row r="562" ht="15.75" customHeight="1">
      <c r="D562" s="127"/>
      <c r="E562" s="127"/>
    </row>
    <row r="563" ht="15.75" customHeight="1">
      <c r="D563" s="127"/>
      <c r="E563" s="127"/>
    </row>
    <row r="564" ht="15.75" customHeight="1">
      <c r="D564" s="127"/>
      <c r="E564" s="127"/>
    </row>
    <row r="565" ht="15.75" customHeight="1">
      <c r="D565" s="127"/>
      <c r="E565" s="127"/>
    </row>
    <row r="566" ht="15.75" customHeight="1">
      <c r="D566" s="127"/>
      <c r="E566" s="127"/>
    </row>
    <row r="567" ht="15.75" customHeight="1">
      <c r="D567" s="127"/>
      <c r="E567" s="127"/>
    </row>
    <row r="568" ht="15.75" customHeight="1">
      <c r="D568" s="127"/>
      <c r="E568" s="127"/>
    </row>
    <row r="569" ht="15.75" customHeight="1">
      <c r="D569" s="127"/>
      <c r="E569" s="127"/>
    </row>
    <row r="570" ht="15.75" customHeight="1">
      <c r="D570" s="127"/>
      <c r="E570" s="127"/>
    </row>
    <row r="571" ht="15.75" customHeight="1">
      <c r="D571" s="127"/>
      <c r="E571" s="127"/>
    </row>
    <row r="572" ht="15.75" customHeight="1">
      <c r="D572" s="127"/>
      <c r="E572" s="127"/>
    </row>
    <row r="573" ht="15.75" customHeight="1">
      <c r="D573" s="127"/>
      <c r="E573" s="127"/>
    </row>
    <row r="574" ht="15.75" customHeight="1">
      <c r="D574" s="127"/>
      <c r="E574" s="127"/>
    </row>
    <row r="575" ht="15.75" customHeight="1">
      <c r="D575" s="127"/>
      <c r="E575" s="127"/>
    </row>
    <row r="576" ht="15.75" customHeight="1">
      <c r="D576" s="127"/>
      <c r="E576" s="127"/>
    </row>
    <row r="577" ht="15.75" customHeight="1">
      <c r="D577" s="127"/>
      <c r="E577" s="127"/>
    </row>
    <row r="578" ht="15.75" customHeight="1">
      <c r="D578" s="127"/>
      <c r="E578" s="127"/>
    </row>
    <row r="579" ht="15.75" customHeight="1">
      <c r="D579" s="127"/>
      <c r="E579" s="127"/>
    </row>
    <row r="580" ht="15.75" customHeight="1">
      <c r="D580" s="127"/>
      <c r="E580" s="127"/>
    </row>
    <row r="581" ht="15.75" customHeight="1">
      <c r="D581" s="127"/>
      <c r="E581" s="127"/>
    </row>
    <row r="582" ht="15.75" customHeight="1">
      <c r="D582" s="127"/>
      <c r="E582" s="127"/>
    </row>
    <row r="583" ht="15.75" customHeight="1">
      <c r="D583" s="127"/>
      <c r="E583" s="127"/>
    </row>
    <row r="584" ht="15.75" customHeight="1">
      <c r="D584" s="127"/>
      <c r="E584" s="127"/>
    </row>
    <row r="585" ht="15.75" customHeight="1">
      <c r="D585" s="127"/>
      <c r="E585" s="127"/>
    </row>
    <row r="586" ht="15.75" customHeight="1">
      <c r="D586" s="127"/>
      <c r="E586" s="127"/>
    </row>
    <row r="587" ht="15.75" customHeight="1">
      <c r="D587" s="127"/>
      <c r="E587" s="127"/>
    </row>
    <row r="588" ht="15.75" customHeight="1">
      <c r="D588" s="127"/>
      <c r="E588" s="127"/>
    </row>
    <row r="589" ht="15.75" customHeight="1">
      <c r="D589" s="127"/>
      <c r="E589" s="127"/>
    </row>
    <row r="590" ht="15.75" customHeight="1">
      <c r="D590" s="127"/>
      <c r="E590" s="127"/>
    </row>
    <row r="591" ht="15.75" customHeight="1">
      <c r="D591" s="127"/>
      <c r="E591" s="127"/>
    </row>
    <row r="592" ht="15.75" customHeight="1">
      <c r="D592" s="127"/>
      <c r="E592" s="127"/>
    </row>
    <row r="593" ht="15.75" customHeight="1">
      <c r="D593" s="127"/>
      <c r="E593" s="127"/>
    </row>
    <row r="594" ht="15.75" customHeight="1">
      <c r="D594" s="127"/>
      <c r="E594" s="127"/>
    </row>
    <row r="595" ht="15.75" customHeight="1">
      <c r="D595" s="127"/>
      <c r="E595" s="127"/>
    </row>
    <row r="596" ht="15.75" customHeight="1">
      <c r="D596" s="127"/>
      <c r="E596" s="127"/>
    </row>
    <row r="597" ht="15.75" customHeight="1">
      <c r="D597" s="127"/>
      <c r="E597" s="127"/>
    </row>
    <row r="598" ht="15.75" customHeight="1">
      <c r="D598" s="127"/>
      <c r="E598" s="127"/>
    </row>
    <row r="599" ht="15.75" customHeight="1">
      <c r="D599" s="127"/>
      <c r="E599" s="127"/>
    </row>
    <row r="600" ht="15.75" customHeight="1">
      <c r="D600" s="127"/>
      <c r="E600" s="127"/>
    </row>
    <row r="601" ht="15.75" customHeight="1">
      <c r="D601" s="127"/>
      <c r="E601" s="127"/>
    </row>
    <row r="602" ht="15.75" customHeight="1">
      <c r="D602" s="127"/>
      <c r="E602" s="127"/>
    </row>
    <row r="603" ht="15.75" customHeight="1">
      <c r="D603" s="127"/>
      <c r="E603" s="127"/>
    </row>
    <row r="604" ht="15.75" customHeight="1">
      <c r="D604" s="127"/>
      <c r="E604" s="127"/>
    </row>
    <row r="605" ht="15.75" customHeight="1">
      <c r="D605" s="127"/>
      <c r="E605" s="127"/>
    </row>
    <row r="606" ht="15.75" customHeight="1">
      <c r="D606" s="127"/>
      <c r="E606" s="127"/>
    </row>
    <row r="607" ht="15.75" customHeight="1">
      <c r="D607" s="127"/>
      <c r="E607" s="127"/>
    </row>
    <row r="608" ht="15.75" customHeight="1">
      <c r="D608" s="127"/>
      <c r="E608" s="127"/>
    </row>
    <row r="609" ht="15.75" customHeight="1">
      <c r="D609" s="127"/>
      <c r="E609" s="127"/>
    </row>
    <row r="610" ht="15.75" customHeight="1">
      <c r="D610" s="127"/>
      <c r="E610" s="127"/>
    </row>
    <row r="611" ht="15.75" customHeight="1">
      <c r="D611" s="127"/>
      <c r="E611" s="127"/>
    </row>
    <row r="612" ht="15.75" customHeight="1">
      <c r="D612" s="127"/>
      <c r="E612" s="127"/>
    </row>
    <row r="613" ht="15.75" customHeight="1">
      <c r="D613" s="127"/>
      <c r="E613" s="127"/>
    </row>
    <row r="614" ht="15.75" customHeight="1">
      <c r="D614" s="127"/>
      <c r="E614" s="127"/>
    </row>
    <row r="615" ht="15.75" customHeight="1">
      <c r="D615" s="127"/>
      <c r="E615" s="127"/>
    </row>
    <row r="616" ht="15.75" customHeight="1">
      <c r="D616" s="127"/>
      <c r="E616" s="127"/>
    </row>
    <row r="617" ht="15.75" customHeight="1">
      <c r="D617" s="127"/>
      <c r="E617" s="127"/>
    </row>
    <row r="618" ht="15.75" customHeight="1">
      <c r="D618" s="127"/>
      <c r="E618" s="127"/>
    </row>
    <row r="619" ht="15.75" customHeight="1">
      <c r="D619" s="127"/>
      <c r="E619" s="127"/>
    </row>
    <row r="620" ht="15.75" customHeight="1">
      <c r="D620" s="127"/>
      <c r="E620" s="127"/>
    </row>
    <row r="621" ht="15.75" customHeight="1">
      <c r="D621" s="127"/>
      <c r="E621" s="127"/>
    </row>
    <row r="622" ht="15.75" customHeight="1">
      <c r="D622" s="127"/>
      <c r="E622" s="127"/>
    </row>
    <row r="623" ht="15.75" customHeight="1">
      <c r="D623" s="127"/>
      <c r="E623" s="127"/>
    </row>
    <row r="624" ht="15.75" customHeight="1">
      <c r="D624" s="127"/>
      <c r="E624" s="127"/>
    </row>
    <row r="625" ht="15.75" customHeight="1">
      <c r="D625" s="127"/>
      <c r="E625" s="127"/>
    </row>
    <row r="626" ht="15.75" customHeight="1">
      <c r="D626" s="127"/>
      <c r="E626" s="127"/>
    </row>
    <row r="627" ht="15.75" customHeight="1">
      <c r="D627" s="127"/>
      <c r="E627" s="127"/>
    </row>
    <row r="628" ht="15.75" customHeight="1">
      <c r="D628" s="127"/>
      <c r="E628" s="127"/>
    </row>
    <row r="629" ht="15.75" customHeight="1">
      <c r="D629" s="127"/>
      <c r="E629" s="127"/>
    </row>
    <row r="630" ht="15.75" customHeight="1">
      <c r="D630" s="127"/>
      <c r="E630" s="127"/>
    </row>
    <row r="631" ht="15.75" customHeight="1">
      <c r="D631" s="127"/>
      <c r="E631" s="127"/>
    </row>
    <row r="632" ht="15.75" customHeight="1">
      <c r="D632" s="127"/>
      <c r="E632" s="127"/>
    </row>
    <row r="633" ht="15.75" customHeight="1">
      <c r="D633" s="127"/>
      <c r="E633" s="127"/>
    </row>
    <row r="634" ht="15.75" customHeight="1">
      <c r="D634" s="127"/>
      <c r="E634" s="127"/>
    </row>
    <row r="635" ht="15.75" customHeight="1">
      <c r="D635" s="127"/>
      <c r="E635" s="127"/>
    </row>
    <row r="636" ht="15.75" customHeight="1">
      <c r="D636" s="127"/>
      <c r="E636" s="127"/>
    </row>
    <row r="637" ht="15.75" customHeight="1">
      <c r="D637" s="127"/>
      <c r="E637" s="127"/>
    </row>
    <row r="638" ht="15.75" customHeight="1">
      <c r="D638" s="127"/>
      <c r="E638" s="127"/>
    </row>
    <row r="639" ht="15.75" customHeight="1">
      <c r="D639" s="127"/>
      <c r="E639" s="127"/>
    </row>
    <row r="640" ht="15.75" customHeight="1">
      <c r="D640" s="127"/>
      <c r="E640" s="127"/>
    </row>
    <row r="641" ht="15.75" customHeight="1">
      <c r="D641" s="127"/>
      <c r="E641" s="127"/>
    </row>
    <row r="642" ht="15.75" customHeight="1">
      <c r="D642" s="127"/>
      <c r="E642" s="127"/>
    </row>
    <row r="643" ht="15.75" customHeight="1">
      <c r="D643" s="127"/>
      <c r="E643" s="127"/>
    </row>
    <row r="644" ht="15.75" customHeight="1">
      <c r="D644" s="127"/>
      <c r="E644" s="127"/>
    </row>
    <row r="645" ht="15.75" customHeight="1">
      <c r="D645" s="127"/>
      <c r="E645" s="127"/>
    </row>
    <row r="646" ht="15.75" customHeight="1">
      <c r="D646" s="127"/>
      <c r="E646" s="127"/>
    </row>
    <row r="647" ht="15.75" customHeight="1">
      <c r="D647" s="127"/>
      <c r="E647" s="127"/>
    </row>
    <row r="648" ht="15.75" customHeight="1">
      <c r="D648" s="127"/>
      <c r="E648" s="127"/>
    </row>
    <row r="649" ht="15.75" customHeight="1">
      <c r="D649" s="127"/>
      <c r="E649" s="127"/>
    </row>
    <row r="650" ht="15.75" customHeight="1">
      <c r="D650" s="127"/>
      <c r="E650" s="127"/>
    </row>
    <row r="651" ht="15.75" customHeight="1">
      <c r="D651" s="127"/>
      <c r="E651" s="127"/>
    </row>
    <row r="652" ht="15.75" customHeight="1">
      <c r="D652" s="127"/>
      <c r="E652" s="127"/>
    </row>
    <row r="653" ht="15.75" customHeight="1">
      <c r="D653" s="127"/>
      <c r="E653" s="127"/>
    </row>
    <row r="654" ht="15.75" customHeight="1">
      <c r="D654" s="127"/>
      <c r="E654" s="127"/>
    </row>
    <row r="655" ht="15.75" customHeight="1">
      <c r="D655" s="127"/>
      <c r="E655" s="127"/>
    </row>
    <row r="656" ht="15.75" customHeight="1">
      <c r="D656" s="127"/>
      <c r="E656" s="127"/>
    </row>
    <row r="657" ht="15.75" customHeight="1">
      <c r="D657" s="127"/>
      <c r="E657" s="127"/>
    </row>
    <row r="658" ht="15.75" customHeight="1">
      <c r="D658" s="127"/>
      <c r="E658" s="127"/>
    </row>
    <row r="659" ht="15.75" customHeight="1">
      <c r="D659" s="127"/>
      <c r="E659" s="127"/>
    </row>
    <row r="660" ht="15.75" customHeight="1">
      <c r="D660" s="127"/>
      <c r="E660" s="127"/>
    </row>
    <row r="661" ht="15.75" customHeight="1">
      <c r="D661" s="127"/>
      <c r="E661" s="127"/>
    </row>
    <row r="662" ht="15.75" customHeight="1">
      <c r="D662" s="127"/>
      <c r="E662" s="127"/>
    </row>
    <row r="663" ht="15.75" customHeight="1">
      <c r="D663" s="127"/>
      <c r="E663" s="127"/>
    </row>
    <row r="664" ht="15.75" customHeight="1">
      <c r="D664" s="127"/>
      <c r="E664" s="127"/>
    </row>
    <row r="665" ht="15.75" customHeight="1">
      <c r="D665" s="127"/>
      <c r="E665" s="127"/>
    </row>
    <row r="666" ht="15.75" customHeight="1">
      <c r="D666" s="127"/>
      <c r="E666" s="127"/>
    </row>
    <row r="667" ht="15.75" customHeight="1">
      <c r="D667" s="127"/>
      <c r="E667" s="127"/>
    </row>
    <row r="668" ht="15.75" customHeight="1">
      <c r="D668" s="127"/>
      <c r="E668" s="127"/>
    </row>
    <row r="669" ht="15.75" customHeight="1">
      <c r="D669" s="127"/>
      <c r="E669" s="127"/>
    </row>
    <row r="670" ht="15.75" customHeight="1">
      <c r="D670" s="127"/>
      <c r="E670" s="127"/>
    </row>
    <row r="671" ht="15.75" customHeight="1">
      <c r="D671" s="127"/>
      <c r="E671" s="127"/>
    </row>
    <row r="672" ht="15.75" customHeight="1">
      <c r="D672" s="127"/>
      <c r="E672" s="127"/>
    </row>
    <row r="673" ht="15.75" customHeight="1">
      <c r="D673" s="127"/>
      <c r="E673" s="127"/>
    </row>
    <row r="674" ht="15.75" customHeight="1">
      <c r="D674" s="127"/>
      <c r="E674" s="127"/>
    </row>
    <row r="675" ht="15.75" customHeight="1">
      <c r="D675" s="127"/>
      <c r="E675" s="127"/>
    </row>
    <row r="676" ht="15.75" customHeight="1">
      <c r="D676" s="127"/>
      <c r="E676" s="127"/>
    </row>
    <row r="677" ht="15.75" customHeight="1">
      <c r="D677" s="127"/>
      <c r="E677" s="127"/>
    </row>
    <row r="678" ht="15.75" customHeight="1">
      <c r="D678" s="127"/>
      <c r="E678" s="127"/>
    </row>
    <row r="679" ht="15.75" customHeight="1">
      <c r="D679" s="127"/>
      <c r="E679" s="127"/>
    </row>
    <row r="680" ht="15.75" customHeight="1">
      <c r="D680" s="127"/>
      <c r="E680" s="127"/>
    </row>
    <row r="681" ht="15.75" customHeight="1">
      <c r="D681" s="127"/>
      <c r="E681" s="127"/>
    </row>
    <row r="682" ht="15.75" customHeight="1">
      <c r="D682" s="127"/>
      <c r="E682" s="127"/>
    </row>
    <row r="683" ht="15.75" customHeight="1">
      <c r="D683" s="127"/>
      <c r="E683" s="127"/>
    </row>
    <row r="684" ht="15.75" customHeight="1">
      <c r="D684" s="127"/>
      <c r="E684" s="127"/>
    </row>
    <row r="685" ht="15.75" customHeight="1">
      <c r="D685" s="127"/>
      <c r="E685" s="127"/>
    </row>
    <row r="686" ht="15.75" customHeight="1">
      <c r="D686" s="127"/>
      <c r="E686" s="127"/>
    </row>
    <row r="687" ht="15.75" customHeight="1">
      <c r="D687" s="127"/>
      <c r="E687" s="127"/>
    </row>
    <row r="688" ht="15.75" customHeight="1">
      <c r="D688" s="127"/>
      <c r="E688" s="127"/>
    </row>
    <row r="689" ht="15.75" customHeight="1">
      <c r="D689" s="127"/>
      <c r="E689" s="127"/>
    </row>
    <row r="690" ht="15.75" customHeight="1">
      <c r="D690" s="127"/>
      <c r="E690" s="127"/>
    </row>
    <row r="691" ht="15.75" customHeight="1">
      <c r="D691" s="127"/>
      <c r="E691" s="127"/>
    </row>
    <row r="692" ht="15.75" customHeight="1">
      <c r="D692" s="127"/>
      <c r="E692" s="127"/>
    </row>
    <row r="693" ht="15.75" customHeight="1">
      <c r="D693" s="127"/>
      <c r="E693" s="127"/>
    </row>
    <row r="694" ht="15.75" customHeight="1">
      <c r="D694" s="127"/>
      <c r="E694" s="127"/>
    </row>
    <row r="695" ht="15.75" customHeight="1">
      <c r="D695" s="127"/>
      <c r="E695" s="127"/>
    </row>
    <row r="696" ht="15.75" customHeight="1">
      <c r="D696" s="127"/>
      <c r="E696" s="127"/>
    </row>
    <row r="697" ht="15.75" customHeight="1">
      <c r="D697" s="127"/>
      <c r="E697" s="127"/>
    </row>
    <row r="698" ht="15.75" customHeight="1">
      <c r="D698" s="127"/>
      <c r="E698" s="127"/>
    </row>
    <row r="699" ht="15.75" customHeight="1">
      <c r="D699" s="127"/>
      <c r="E699" s="127"/>
    </row>
    <row r="700" ht="15.75" customHeight="1">
      <c r="D700" s="127"/>
      <c r="E700" s="127"/>
    </row>
    <row r="701" ht="15.75" customHeight="1">
      <c r="D701" s="127"/>
      <c r="E701" s="127"/>
    </row>
    <row r="702" ht="15.75" customHeight="1">
      <c r="D702" s="127"/>
      <c r="E702" s="127"/>
    </row>
    <row r="703" ht="15.75" customHeight="1">
      <c r="D703" s="127"/>
      <c r="E703" s="127"/>
    </row>
    <row r="704" ht="15.75" customHeight="1">
      <c r="D704" s="127"/>
      <c r="E704" s="127"/>
    </row>
    <row r="705" ht="15.75" customHeight="1">
      <c r="D705" s="127"/>
      <c r="E705" s="127"/>
    </row>
    <row r="706" ht="15.75" customHeight="1">
      <c r="D706" s="127"/>
      <c r="E706" s="127"/>
    </row>
    <row r="707" ht="15.75" customHeight="1">
      <c r="D707" s="127"/>
      <c r="E707" s="127"/>
    </row>
    <row r="708" ht="15.75" customHeight="1">
      <c r="D708" s="127"/>
      <c r="E708" s="127"/>
    </row>
    <row r="709" ht="15.75" customHeight="1">
      <c r="D709" s="127"/>
      <c r="E709" s="127"/>
    </row>
    <row r="710" ht="15.75" customHeight="1">
      <c r="D710" s="127"/>
      <c r="E710" s="127"/>
    </row>
    <row r="711" ht="15.75" customHeight="1">
      <c r="D711" s="127"/>
      <c r="E711" s="127"/>
    </row>
    <row r="712" ht="15.75" customHeight="1">
      <c r="D712" s="127"/>
      <c r="E712" s="127"/>
    </row>
    <row r="713" ht="15.75" customHeight="1">
      <c r="D713" s="127"/>
      <c r="E713" s="127"/>
    </row>
    <row r="714" ht="15.75" customHeight="1">
      <c r="D714" s="127"/>
      <c r="E714" s="127"/>
    </row>
    <row r="715" ht="15.75" customHeight="1">
      <c r="D715" s="127"/>
      <c r="E715" s="127"/>
    </row>
    <row r="716" ht="15.75" customHeight="1">
      <c r="D716" s="127"/>
      <c r="E716" s="127"/>
    </row>
    <row r="717" ht="15.75" customHeight="1">
      <c r="D717" s="127"/>
      <c r="E717" s="127"/>
    </row>
    <row r="718" ht="15.75" customHeight="1">
      <c r="D718" s="127"/>
      <c r="E718" s="127"/>
    </row>
    <row r="719" ht="15.75" customHeight="1">
      <c r="D719" s="127"/>
      <c r="E719" s="127"/>
    </row>
    <row r="720" ht="15.75" customHeight="1">
      <c r="D720" s="127"/>
      <c r="E720" s="127"/>
    </row>
    <row r="721" ht="15.75" customHeight="1">
      <c r="D721" s="127"/>
      <c r="E721" s="127"/>
    </row>
    <row r="722" ht="15.75" customHeight="1">
      <c r="D722" s="127"/>
      <c r="E722" s="127"/>
    </row>
    <row r="723" ht="15.75" customHeight="1">
      <c r="D723" s="127"/>
      <c r="E723" s="127"/>
    </row>
    <row r="724" ht="15.75" customHeight="1">
      <c r="D724" s="127"/>
      <c r="E724" s="127"/>
    </row>
    <row r="725" ht="15.75" customHeight="1">
      <c r="D725" s="127"/>
      <c r="E725" s="127"/>
    </row>
    <row r="726" ht="15.75" customHeight="1">
      <c r="D726" s="127"/>
      <c r="E726" s="127"/>
    </row>
    <row r="727" ht="15.75" customHeight="1">
      <c r="D727" s="127"/>
      <c r="E727" s="127"/>
    </row>
    <row r="728" ht="15.75" customHeight="1">
      <c r="D728" s="127"/>
      <c r="E728" s="127"/>
    </row>
    <row r="729" ht="15.75" customHeight="1">
      <c r="D729" s="127"/>
      <c r="E729" s="127"/>
    </row>
    <row r="730" ht="15.75" customHeight="1">
      <c r="D730" s="127"/>
      <c r="E730" s="127"/>
    </row>
    <row r="731" ht="15.75" customHeight="1">
      <c r="D731" s="127"/>
      <c r="E731" s="127"/>
    </row>
    <row r="732" ht="15.75" customHeight="1">
      <c r="D732" s="127"/>
      <c r="E732" s="127"/>
    </row>
    <row r="733" ht="15.75" customHeight="1">
      <c r="D733" s="127"/>
      <c r="E733" s="127"/>
    </row>
    <row r="734" ht="15.75" customHeight="1">
      <c r="D734" s="127"/>
      <c r="E734" s="127"/>
    </row>
    <row r="735" ht="15.75" customHeight="1">
      <c r="D735" s="127"/>
      <c r="E735" s="127"/>
    </row>
    <row r="736" ht="15.75" customHeight="1">
      <c r="D736" s="127"/>
      <c r="E736" s="127"/>
    </row>
    <row r="737" ht="15.75" customHeight="1">
      <c r="D737" s="127"/>
      <c r="E737" s="127"/>
    </row>
    <row r="738" ht="15.75" customHeight="1">
      <c r="D738" s="127"/>
      <c r="E738" s="127"/>
    </row>
    <row r="739" ht="15.75" customHeight="1">
      <c r="D739" s="127"/>
      <c r="E739" s="127"/>
    </row>
    <row r="740" ht="15.75" customHeight="1">
      <c r="D740" s="127"/>
      <c r="E740" s="127"/>
    </row>
    <row r="741" ht="15.75" customHeight="1">
      <c r="D741" s="127"/>
      <c r="E741" s="127"/>
    </row>
    <row r="742" ht="15.75" customHeight="1">
      <c r="D742" s="127"/>
      <c r="E742" s="127"/>
    </row>
    <row r="743" ht="15.75" customHeight="1">
      <c r="D743" s="127"/>
      <c r="E743" s="127"/>
    </row>
    <row r="744" ht="15.75" customHeight="1">
      <c r="D744" s="127"/>
      <c r="E744" s="127"/>
    </row>
    <row r="745" ht="15.75" customHeight="1">
      <c r="D745" s="127"/>
      <c r="E745" s="127"/>
    </row>
    <row r="746" ht="15.75" customHeight="1">
      <c r="D746" s="127"/>
      <c r="E746" s="127"/>
    </row>
    <row r="747" ht="15.75" customHeight="1">
      <c r="D747" s="127"/>
      <c r="E747" s="127"/>
    </row>
    <row r="748" ht="15.75" customHeight="1">
      <c r="D748" s="127"/>
      <c r="E748" s="127"/>
    </row>
    <row r="749" ht="15.75" customHeight="1">
      <c r="D749" s="127"/>
      <c r="E749" s="127"/>
    </row>
    <row r="750" ht="15.75" customHeight="1">
      <c r="D750" s="127"/>
      <c r="E750" s="127"/>
    </row>
    <row r="751" ht="15.75" customHeight="1">
      <c r="D751" s="127"/>
      <c r="E751" s="127"/>
    </row>
    <row r="752" ht="15.75" customHeight="1">
      <c r="D752" s="127"/>
      <c r="E752" s="127"/>
    </row>
    <row r="753" ht="15.75" customHeight="1">
      <c r="D753" s="127"/>
      <c r="E753" s="127"/>
    </row>
    <row r="754" ht="15.75" customHeight="1">
      <c r="D754" s="127"/>
      <c r="E754" s="127"/>
    </row>
    <row r="755" ht="15.75" customHeight="1">
      <c r="D755" s="127"/>
      <c r="E755" s="127"/>
    </row>
    <row r="756" ht="15.75" customHeight="1">
      <c r="D756" s="127"/>
      <c r="E756" s="127"/>
    </row>
    <row r="757" ht="15.75" customHeight="1">
      <c r="D757" s="127"/>
      <c r="E757" s="127"/>
    </row>
    <row r="758" ht="15.75" customHeight="1">
      <c r="D758" s="127"/>
      <c r="E758" s="127"/>
    </row>
    <row r="759" ht="15.75" customHeight="1">
      <c r="D759" s="127"/>
      <c r="E759" s="127"/>
    </row>
    <row r="760" ht="15.75" customHeight="1">
      <c r="D760" s="127"/>
      <c r="E760" s="127"/>
    </row>
    <row r="761" ht="15.75" customHeight="1">
      <c r="D761" s="127"/>
      <c r="E761" s="127"/>
    </row>
    <row r="762" ht="15.75" customHeight="1">
      <c r="D762" s="127"/>
      <c r="E762" s="127"/>
    </row>
    <row r="763" ht="15.75" customHeight="1">
      <c r="D763" s="127"/>
      <c r="E763" s="127"/>
    </row>
    <row r="764" ht="15.75" customHeight="1">
      <c r="D764" s="127"/>
      <c r="E764" s="127"/>
    </row>
    <row r="765" ht="15.75" customHeight="1">
      <c r="D765" s="127"/>
      <c r="E765" s="127"/>
    </row>
    <row r="766" ht="15.75" customHeight="1">
      <c r="D766" s="127"/>
      <c r="E766" s="127"/>
    </row>
    <row r="767" ht="15.75" customHeight="1">
      <c r="D767" s="127"/>
      <c r="E767" s="127"/>
    </row>
    <row r="768" ht="15.75" customHeight="1">
      <c r="D768" s="127"/>
      <c r="E768" s="127"/>
    </row>
    <row r="769" ht="15.75" customHeight="1">
      <c r="D769" s="127"/>
      <c r="E769" s="127"/>
    </row>
    <row r="770" ht="15.75" customHeight="1">
      <c r="D770" s="127"/>
      <c r="E770" s="127"/>
    </row>
    <row r="771" ht="15.75" customHeight="1">
      <c r="D771" s="127"/>
      <c r="E771" s="127"/>
    </row>
    <row r="772" ht="15.75" customHeight="1">
      <c r="D772" s="127"/>
      <c r="E772" s="127"/>
    </row>
    <row r="773" ht="15.75" customHeight="1">
      <c r="D773" s="127"/>
      <c r="E773" s="127"/>
    </row>
    <row r="774" ht="15.75" customHeight="1">
      <c r="D774" s="127"/>
      <c r="E774" s="127"/>
    </row>
    <row r="775" ht="15.75" customHeight="1">
      <c r="D775" s="127"/>
      <c r="E775" s="127"/>
    </row>
    <row r="776" ht="15.75" customHeight="1">
      <c r="D776" s="127"/>
      <c r="E776" s="127"/>
    </row>
    <row r="777" ht="15.75" customHeight="1">
      <c r="D777" s="127"/>
      <c r="E777" s="127"/>
    </row>
    <row r="778" ht="15.75" customHeight="1">
      <c r="D778" s="127"/>
      <c r="E778" s="127"/>
    </row>
    <row r="779" ht="15.75" customHeight="1">
      <c r="D779" s="127"/>
      <c r="E779" s="127"/>
    </row>
    <row r="780" ht="15.75" customHeight="1">
      <c r="D780" s="127"/>
      <c r="E780" s="127"/>
    </row>
    <row r="781" ht="15.75" customHeight="1">
      <c r="D781" s="127"/>
      <c r="E781" s="127"/>
    </row>
    <row r="782" ht="15.75" customHeight="1">
      <c r="D782" s="127"/>
      <c r="E782" s="127"/>
    </row>
    <row r="783" ht="15.75" customHeight="1">
      <c r="D783" s="127"/>
      <c r="E783" s="127"/>
    </row>
    <row r="784" ht="15.75" customHeight="1">
      <c r="D784" s="127"/>
      <c r="E784" s="127"/>
    </row>
    <row r="785" ht="15.75" customHeight="1">
      <c r="D785" s="127"/>
      <c r="E785" s="127"/>
    </row>
    <row r="786" ht="15.75" customHeight="1">
      <c r="D786" s="127"/>
      <c r="E786" s="127"/>
    </row>
    <row r="787" ht="15.75" customHeight="1">
      <c r="D787" s="127"/>
      <c r="E787" s="127"/>
    </row>
    <row r="788" ht="15.75" customHeight="1">
      <c r="D788" s="127"/>
      <c r="E788" s="127"/>
    </row>
    <row r="789" ht="15.75" customHeight="1">
      <c r="D789" s="127"/>
      <c r="E789" s="127"/>
    </row>
    <row r="790" ht="15.75" customHeight="1">
      <c r="D790" s="127"/>
      <c r="E790" s="127"/>
    </row>
    <row r="791" ht="15.75" customHeight="1">
      <c r="D791" s="127"/>
      <c r="E791" s="127"/>
    </row>
    <row r="792" ht="15.75" customHeight="1">
      <c r="D792" s="127"/>
      <c r="E792" s="127"/>
    </row>
    <row r="793" ht="15.75" customHeight="1">
      <c r="D793" s="127"/>
      <c r="E793" s="127"/>
    </row>
    <row r="794" ht="15.75" customHeight="1">
      <c r="D794" s="127"/>
      <c r="E794" s="127"/>
    </row>
    <row r="795" ht="15.75" customHeight="1">
      <c r="D795" s="127"/>
      <c r="E795" s="127"/>
    </row>
    <row r="796" ht="15.75" customHeight="1">
      <c r="D796" s="127"/>
      <c r="E796" s="127"/>
    </row>
    <row r="797" ht="15.75" customHeight="1">
      <c r="D797" s="127"/>
      <c r="E797" s="127"/>
    </row>
    <row r="798" ht="15.75" customHeight="1">
      <c r="D798" s="127"/>
      <c r="E798" s="127"/>
    </row>
    <row r="799" ht="15.75" customHeight="1">
      <c r="D799" s="127"/>
      <c r="E799" s="127"/>
    </row>
    <row r="800" ht="15.75" customHeight="1">
      <c r="D800" s="127"/>
      <c r="E800" s="127"/>
    </row>
    <row r="801" ht="15.75" customHeight="1">
      <c r="D801" s="127"/>
      <c r="E801" s="127"/>
    </row>
    <row r="802" ht="15.75" customHeight="1">
      <c r="D802" s="127"/>
      <c r="E802" s="127"/>
    </row>
    <row r="803" ht="15.75" customHeight="1">
      <c r="D803" s="127"/>
      <c r="E803" s="127"/>
    </row>
    <row r="804" ht="15.75" customHeight="1">
      <c r="D804" s="127"/>
      <c r="E804" s="127"/>
    </row>
    <row r="805" ht="15.75" customHeight="1">
      <c r="D805" s="127"/>
      <c r="E805" s="127"/>
    </row>
    <row r="806" ht="15.75" customHeight="1">
      <c r="D806" s="127"/>
      <c r="E806" s="127"/>
    </row>
    <row r="807" ht="15.75" customHeight="1">
      <c r="D807" s="127"/>
      <c r="E807" s="127"/>
    </row>
    <row r="808" ht="15.75" customHeight="1">
      <c r="D808" s="127"/>
      <c r="E808" s="127"/>
    </row>
    <row r="809" ht="15.75" customHeight="1">
      <c r="D809" s="127"/>
      <c r="E809" s="127"/>
    </row>
    <row r="810" ht="15.75" customHeight="1">
      <c r="D810" s="127"/>
      <c r="E810" s="127"/>
    </row>
    <row r="811" ht="15.75" customHeight="1">
      <c r="D811" s="127"/>
      <c r="E811" s="127"/>
    </row>
    <row r="812" ht="15.75" customHeight="1">
      <c r="D812" s="127"/>
      <c r="E812" s="127"/>
    </row>
    <row r="813" ht="15.75" customHeight="1">
      <c r="D813" s="127"/>
      <c r="E813" s="127"/>
    </row>
    <row r="814" ht="15.75" customHeight="1">
      <c r="D814" s="127"/>
      <c r="E814" s="127"/>
    </row>
    <row r="815" ht="15.75" customHeight="1">
      <c r="D815" s="127"/>
      <c r="E815" s="127"/>
    </row>
    <row r="816" ht="15.75" customHeight="1">
      <c r="D816" s="127"/>
      <c r="E816" s="127"/>
    </row>
    <row r="817" ht="15.75" customHeight="1">
      <c r="D817" s="127"/>
      <c r="E817" s="127"/>
    </row>
    <row r="818" ht="15.75" customHeight="1">
      <c r="D818" s="127"/>
      <c r="E818" s="127"/>
    </row>
    <row r="819" ht="15.75" customHeight="1">
      <c r="D819" s="127"/>
      <c r="E819" s="127"/>
    </row>
    <row r="820" ht="15.75" customHeight="1">
      <c r="D820" s="127"/>
      <c r="E820" s="127"/>
    </row>
    <row r="821" ht="15.75" customHeight="1">
      <c r="D821" s="127"/>
      <c r="E821" s="127"/>
    </row>
    <row r="822" ht="15.75" customHeight="1">
      <c r="D822" s="127"/>
      <c r="E822" s="127"/>
    </row>
    <row r="823" ht="15.75" customHeight="1">
      <c r="D823" s="127"/>
      <c r="E823" s="127"/>
    </row>
    <row r="824" ht="15.75" customHeight="1">
      <c r="D824" s="127"/>
      <c r="E824" s="127"/>
    </row>
    <row r="825" ht="15.75" customHeight="1">
      <c r="D825" s="127"/>
      <c r="E825" s="127"/>
    </row>
    <row r="826" ht="15.75" customHeight="1">
      <c r="D826" s="127"/>
      <c r="E826" s="127"/>
    </row>
    <row r="827" ht="15.75" customHeight="1">
      <c r="D827" s="127"/>
      <c r="E827" s="127"/>
    </row>
    <row r="828" ht="15.75" customHeight="1">
      <c r="D828" s="127"/>
      <c r="E828" s="127"/>
    </row>
    <row r="829" ht="15.75" customHeight="1">
      <c r="D829" s="127"/>
      <c r="E829" s="127"/>
    </row>
    <row r="830" ht="15.75" customHeight="1">
      <c r="D830" s="127"/>
      <c r="E830" s="127"/>
    </row>
    <row r="831" ht="15.75" customHeight="1">
      <c r="D831" s="127"/>
      <c r="E831" s="127"/>
    </row>
    <row r="832" ht="15.75" customHeight="1">
      <c r="D832" s="127"/>
      <c r="E832" s="127"/>
    </row>
    <row r="833" ht="15.75" customHeight="1">
      <c r="D833" s="127"/>
      <c r="E833" s="127"/>
    </row>
    <row r="834" ht="15.75" customHeight="1">
      <c r="D834" s="127"/>
      <c r="E834" s="127"/>
    </row>
    <row r="835" ht="15.75" customHeight="1">
      <c r="D835" s="127"/>
      <c r="E835" s="127"/>
    </row>
    <row r="836" ht="15.75" customHeight="1">
      <c r="D836" s="127"/>
      <c r="E836" s="127"/>
    </row>
    <row r="837" ht="15.75" customHeight="1">
      <c r="D837" s="127"/>
      <c r="E837" s="127"/>
    </row>
    <row r="838" ht="15.75" customHeight="1">
      <c r="D838" s="127"/>
      <c r="E838" s="127"/>
    </row>
    <row r="839" ht="15.75" customHeight="1">
      <c r="D839" s="127"/>
      <c r="E839" s="127"/>
    </row>
    <row r="840" ht="15.75" customHeight="1">
      <c r="D840" s="127"/>
      <c r="E840" s="127"/>
    </row>
    <row r="841" ht="15.75" customHeight="1">
      <c r="D841" s="127"/>
      <c r="E841" s="127"/>
    </row>
    <row r="842" ht="15.75" customHeight="1">
      <c r="D842" s="127"/>
      <c r="E842" s="127"/>
    </row>
    <row r="843" ht="15.75" customHeight="1">
      <c r="D843" s="127"/>
      <c r="E843" s="127"/>
    </row>
    <row r="844" ht="15.75" customHeight="1">
      <c r="D844" s="127"/>
      <c r="E844" s="127"/>
    </row>
    <row r="845" ht="15.75" customHeight="1">
      <c r="D845" s="127"/>
      <c r="E845" s="127"/>
    </row>
    <row r="846" ht="15.75" customHeight="1">
      <c r="D846" s="127"/>
      <c r="E846" s="127"/>
    </row>
    <row r="847" ht="15.75" customHeight="1">
      <c r="D847" s="127"/>
      <c r="E847" s="127"/>
    </row>
    <row r="848" ht="15.75" customHeight="1">
      <c r="D848" s="127"/>
      <c r="E848" s="127"/>
    </row>
    <row r="849" ht="15.75" customHeight="1">
      <c r="D849" s="127"/>
      <c r="E849" s="127"/>
    </row>
    <row r="850" ht="15.75" customHeight="1">
      <c r="D850" s="127"/>
      <c r="E850" s="127"/>
    </row>
    <row r="851" ht="15.75" customHeight="1">
      <c r="D851" s="127"/>
      <c r="E851" s="127"/>
    </row>
    <row r="852" ht="15.75" customHeight="1">
      <c r="D852" s="127"/>
      <c r="E852" s="127"/>
    </row>
    <row r="853" ht="15.75" customHeight="1">
      <c r="D853" s="127"/>
      <c r="E853" s="127"/>
    </row>
    <row r="854" ht="15.75" customHeight="1">
      <c r="D854" s="127"/>
      <c r="E854" s="127"/>
    </row>
    <row r="855" ht="15.75" customHeight="1">
      <c r="D855" s="127"/>
      <c r="E855" s="127"/>
    </row>
    <row r="856" ht="15.75" customHeight="1">
      <c r="D856" s="127"/>
      <c r="E856" s="127"/>
    </row>
    <row r="857" ht="15.75" customHeight="1">
      <c r="D857" s="127"/>
      <c r="E857" s="127"/>
    </row>
    <row r="858" ht="15.75" customHeight="1">
      <c r="D858" s="127"/>
      <c r="E858" s="127"/>
    </row>
    <row r="859" ht="15.75" customHeight="1">
      <c r="D859" s="127"/>
      <c r="E859" s="127"/>
    </row>
    <row r="860" ht="15.75" customHeight="1">
      <c r="D860" s="127"/>
      <c r="E860" s="127"/>
    </row>
    <row r="861" ht="15.75" customHeight="1">
      <c r="D861" s="127"/>
      <c r="E861" s="127"/>
    </row>
    <row r="862" ht="15.75" customHeight="1">
      <c r="D862" s="127"/>
      <c r="E862" s="127"/>
    </row>
    <row r="863" ht="15.75" customHeight="1">
      <c r="D863" s="127"/>
      <c r="E863" s="127"/>
    </row>
    <row r="864" ht="15.75" customHeight="1">
      <c r="D864" s="127"/>
      <c r="E864" s="127"/>
    </row>
    <row r="865" ht="15.75" customHeight="1">
      <c r="D865" s="127"/>
      <c r="E865" s="127"/>
    </row>
    <row r="866" ht="15.75" customHeight="1">
      <c r="D866" s="127"/>
      <c r="E866" s="127"/>
    </row>
    <row r="867" ht="15.75" customHeight="1">
      <c r="D867" s="127"/>
      <c r="E867" s="127"/>
    </row>
    <row r="868" ht="15.75" customHeight="1">
      <c r="D868" s="127"/>
      <c r="E868" s="127"/>
    </row>
    <row r="869" ht="15.75" customHeight="1">
      <c r="D869" s="127"/>
      <c r="E869" s="127"/>
    </row>
    <row r="870" ht="15.75" customHeight="1">
      <c r="D870" s="127"/>
      <c r="E870" s="127"/>
    </row>
    <row r="871" ht="15.75" customHeight="1">
      <c r="D871" s="127"/>
      <c r="E871" s="127"/>
    </row>
    <row r="872" ht="15.75" customHeight="1">
      <c r="D872" s="127"/>
      <c r="E872" s="127"/>
    </row>
    <row r="873" ht="15.75" customHeight="1">
      <c r="D873" s="127"/>
      <c r="E873" s="127"/>
    </row>
    <row r="874" ht="15.75" customHeight="1">
      <c r="D874" s="127"/>
      <c r="E874" s="127"/>
    </row>
    <row r="875" ht="15.75" customHeight="1">
      <c r="D875" s="127"/>
      <c r="E875" s="127"/>
    </row>
    <row r="876" ht="15.75" customHeight="1">
      <c r="D876" s="127"/>
      <c r="E876" s="127"/>
    </row>
    <row r="877" ht="15.75" customHeight="1">
      <c r="D877" s="127"/>
      <c r="E877" s="127"/>
    </row>
    <row r="878" ht="15.75" customHeight="1">
      <c r="D878" s="127"/>
      <c r="E878" s="127"/>
    </row>
    <row r="879" ht="15.75" customHeight="1">
      <c r="D879" s="127"/>
      <c r="E879" s="127"/>
    </row>
    <row r="880" ht="15.75" customHeight="1">
      <c r="D880" s="127"/>
      <c r="E880" s="127"/>
    </row>
    <row r="881" ht="15.75" customHeight="1">
      <c r="D881" s="127"/>
      <c r="E881" s="127"/>
    </row>
    <row r="882" ht="15.75" customHeight="1">
      <c r="D882" s="127"/>
      <c r="E882" s="127"/>
    </row>
    <row r="883" ht="15.75" customHeight="1">
      <c r="D883" s="127"/>
      <c r="E883" s="127"/>
    </row>
    <row r="884" ht="15.75" customHeight="1">
      <c r="D884" s="127"/>
      <c r="E884" s="127"/>
    </row>
    <row r="885" ht="15.75" customHeight="1">
      <c r="D885" s="127"/>
      <c r="E885" s="127"/>
    </row>
    <row r="886" ht="15.75" customHeight="1">
      <c r="D886" s="127"/>
      <c r="E886" s="127"/>
    </row>
    <row r="887" ht="15.75" customHeight="1">
      <c r="D887" s="127"/>
      <c r="E887" s="127"/>
    </row>
    <row r="888" ht="15.75" customHeight="1">
      <c r="D888" s="127"/>
      <c r="E888" s="127"/>
    </row>
    <row r="889" ht="15.75" customHeight="1">
      <c r="D889" s="127"/>
      <c r="E889" s="127"/>
    </row>
    <row r="890" ht="15.75" customHeight="1">
      <c r="D890" s="127"/>
      <c r="E890" s="127"/>
    </row>
    <row r="891" ht="15.75" customHeight="1">
      <c r="D891" s="127"/>
      <c r="E891" s="127"/>
    </row>
    <row r="892" ht="15.75" customHeight="1">
      <c r="D892" s="127"/>
      <c r="E892" s="127"/>
    </row>
    <row r="893" ht="15.75" customHeight="1">
      <c r="D893" s="127"/>
      <c r="E893" s="127"/>
    </row>
    <row r="894" ht="15.75" customHeight="1">
      <c r="D894" s="127"/>
      <c r="E894" s="127"/>
    </row>
    <row r="895" ht="15.75" customHeight="1">
      <c r="D895" s="127"/>
      <c r="E895" s="127"/>
    </row>
    <row r="896" ht="15.75" customHeight="1">
      <c r="D896" s="127"/>
      <c r="E896" s="127"/>
    </row>
    <row r="897" ht="15.75" customHeight="1">
      <c r="D897" s="127"/>
      <c r="E897" s="127"/>
    </row>
    <row r="898" ht="15.75" customHeight="1">
      <c r="D898" s="127"/>
      <c r="E898" s="127"/>
    </row>
    <row r="899" ht="15.75" customHeight="1">
      <c r="D899" s="127"/>
      <c r="E899" s="127"/>
    </row>
    <row r="900" ht="15.75" customHeight="1">
      <c r="D900" s="127"/>
      <c r="E900" s="127"/>
    </row>
    <row r="901" ht="15.75" customHeight="1">
      <c r="D901" s="127"/>
      <c r="E901" s="127"/>
    </row>
    <row r="902" ht="15.75" customHeight="1">
      <c r="D902" s="127"/>
      <c r="E902" s="127"/>
    </row>
    <row r="903" ht="15.75" customHeight="1">
      <c r="D903" s="127"/>
      <c r="E903" s="127"/>
    </row>
    <row r="904" ht="15.75" customHeight="1">
      <c r="D904" s="127"/>
      <c r="E904" s="127"/>
    </row>
    <row r="905" ht="15.75" customHeight="1">
      <c r="D905" s="127"/>
      <c r="E905" s="127"/>
    </row>
    <row r="906" ht="15.75" customHeight="1">
      <c r="D906" s="127"/>
      <c r="E906" s="127"/>
    </row>
    <row r="907" ht="15.75" customHeight="1">
      <c r="D907" s="127"/>
      <c r="E907" s="127"/>
    </row>
    <row r="908" ht="15.75" customHeight="1">
      <c r="D908" s="127"/>
      <c r="E908" s="127"/>
    </row>
    <row r="909" ht="15.75" customHeight="1">
      <c r="D909" s="127"/>
      <c r="E909" s="127"/>
    </row>
    <row r="910" ht="15.75" customHeight="1">
      <c r="D910" s="127"/>
      <c r="E910" s="127"/>
    </row>
    <row r="911" ht="15.75" customHeight="1">
      <c r="D911" s="127"/>
      <c r="E911" s="127"/>
    </row>
    <row r="912" ht="15.75" customHeight="1">
      <c r="D912" s="127"/>
      <c r="E912" s="127"/>
    </row>
    <row r="913" ht="15.75" customHeight="1">
      <c r="D913" s="127"/>
      <c r="E913" s="127"/>
    </row>
    <row r="914" ht="15.75" customHeight="1">
      <c r="D914" s="127"/>
      <c r="E914" s="127"/>
    </row>
    <row r="915" ht="15.75" customHeight="1">
      <c r="D915" s="127"/>
      <c r="E915" s="127"/>
    </row>
    <row r="916" ht="15.75" customHeight="1">
      <c r="D916" s="127"/>
      <c r="E916" s="127"/>
    </row>
    <row r="917" ht="15.75" customHeight="1">
      <c r="D917" s="127"/>
      <c r="E917" s="127"/>
    </row>
    <row r="918" ht="15.75" customHeight="1">
      <c r="D918" s="127"/>
      <c r="E918" s="127"/>
    </row>
    <row r="919" ht="15.75" customHeight="1">
      <c r="D919" s="127"/>
      <c r="E919" s="127"/>
    </row>
    <row r="920" ht="15.75" customHeight="1">
      <c r="D920" s="127"/>
      <c r="E920" s="127"/>
    </row>
    <row r="921" ht="15.75" customHeight="1">
      <c r="D921" s="127"/>
      <c r="E921" s="127"/>
    </row>
    <row r="922" ht="15.75" customHeight="1">
      <c r="D922" s="127"/>
      <c r="E922" s="127"/>
    </row>
    <row r="923" ht="15.75" customHeight="1">
      <c r="D923" s="127"/>
      <c r="E923" s="127"/>
    </row>
    <row r="924" ht="15.75" customHeight="1">
      <c r="D924" s="127"/>
      <c r="E924" s="127"/>
    </row>
    <row r="925" ht="15.75" customHeight="1">
      <c r="D925" s="127"/>
      <c r="E925" s="127"/>
    </row>
    <row r="926" ht="15.75" customHeight="1">
      <c r="D926" s="127"/>
      <c r="E926" s="127"/>
    </row>
    <row r="927" ht="15.75" customHeight="1">
      <c r="D927" s="127"/>
      <c r="E927" s="127"/>
    </row>
    <row r="928" ht="15.75" customHeight="1">
      <c r="D928" s="127"/>
      <c r="E928" s="127"/>
    </row>
    <row r="929" ht="15.75" customHeight="1">
      <c r="D929" s="127"/>
      <c r="E929" s="127"/>
    </row>
    <row r="930" ht="15.75" customHeight="1">
      <c r="D930" s="127"/>
      <c r="E930" s="127"/>
    </row>
    <row r="931" ht="15.75" customHeight="1">
      <c r="D931" s="127"/>
      <c r="E931" s="127"/>
    </row>
    <row r="932" ht="15.75" customHeight="1">
      <c r="D932" s="127"/>
      <c r="E932" s="127"/>
    </row>
    <row r="933" ht="15.75" customHeight="1">
      <c r="D933" s="127"/>
      <c r="E933" s="127"/>
    </row>
    <row r="934" ht="15.75" customHeight="1">
      <c r="D934" s="127"/>
      <c r="E934" s="127"/>
    </row>
    <row r="935" ht="15.75" customHeight="1">
      <c r="D935" s="127"/>
      <c r="E935" s="127"/>
    </row>
    <row r="936" ht="15.75" customHeight="1">
      <c r="D936" s="127"/>
      <c r="E936" s="127"/>
    </row>
    <row r="937" ht="15.75" customHeight="1">
      <c r="D937" s="127"/>
      <c r="E937" s="127"/>
    </row>
    <row r="938" ht="15.75" customHeight="1">
      <c r="D938" s="127"/>
      <c r="E938" s="127"/>
    </row>
    <row r="939" ht="15.75" customHeight="1">
      <c r="D939" s="127"/>
      <c r="E939" s="127"/>
    </row>
    <row r="940" ht="15.75" customHeight="1">
      <c r="D940" s="127"/>
      <c r="E940" s="127"/>
    </row>
    <row r="941" ht="15.75" customHeight="1">
      <c r="D941" s="127"/>
      <c r="E941" s="127"/>
    </row>
    <row r="942" ht="15.75" customHeight="1">
      <c r="D942" s="127"/>
      <c r="E942" s="127"/>
    </row>
    <row r="943" ht="15.75" customHeight="1">
      <c r="D943" s="127"/>
      <c r="E943" s="127"/>
    </row>
    <row r="944" ht="15.75" customHeight="1">
      <c r="D944" s="127"/>
      <c r="E944" s="127"/>
    </row>
    <row r="945" ht="15.75" customHeight="1">
      <c r="D945" s="127"/>
      <c r="E945" s="127"/>
    </row>
    <row r="946" ht="15.75" customHeight="1">
      <c r="D946" s="127"/>
      <c r="E946" s="127"/>
    </row>
    <row r="947" ht="15.75" customHeight="1">
      <c r="D947" s="127"/>
      <c r="E947" s="127"/>
    </row>
    <row r="948" ht="15.75" customHeight="1">
      <c r="D948" s="127"/>
      <c r="E948" s="127"/>
    </row>
    <row r="949" ht="15.75" customHeight="1">
      <c r="D949" s="127"/>
      <c r="E949" s="127"/>
    </row>
    <row r="950" ht="15.75" customHeight="1">
      <c r="D950" s="127"/>
      <c r="E950" s="127"/>
    </row>
    <row r="951" ht="15.75" customHeight="1">
      <c r="D951" s="127"/>
      <c r="E951" s="127"/>
    </row>
    <row r="952" ht="15.75" customHeight="1">
      <c r="D952" s="127"/>
      <c r="E952" s="127"/>
    </row>
    <row r="953" ht="15.75" customHeight="1">
      <c r="D953" s="127"/>
      <c r="E953" s="127"/>
    </row>
    <row r="954" ht="15.75" customHeight="1">
      <c r="D954" s="127"/>
      <c r="E954" s="127"/>
    </row>
    <row r="955" ht="15.75" customHeight="1">
      <c r="D955" s="127"/>
      <c r="E955" s="127"/>
    </row>
    <row r="956" ht="15.75" customHeight="1">
      <c r="D956" s="127"/>
      <c r="E956" s="127"/>
    </row>
    <row r="957" ht="15.75" customHeight="1">
      <c r="D957" s="127"/>
      <c r="E957" s="127"/>
    </row>
    <row r="958" ht="15.75" customHeight="1">
      <c r="D958" s="127"/>
      <c r="E958" s="127"/>
    </row>
    <row r="959" ht="15.75" customHeight="1">
      <c r="D959" s="127"/>
      <c r="E959" s="127"/>
    </row>
    <row r="960" ht="15.75" customHeight="1">
      <c r="D960" s="127"/>
      <c r="E960" s="127"/>
    </row>
    <row r="961" ht="15.75" customHeight="1">
      <c r="D961" s="127"/>
      <c r="E961" s="127"/>
    </row>
    <row r="962" ht="15.75" customHeight="1">
      <c r="D962" s="127"/>
      <c r="E962" s="127"/>
    </row>
    <row r="963" ht="15.75" customHeight="1">
      <c r="D963" s="127"/>
      <c r="E963" s="127"/>
    </row>
    <row r="964" ht="15.75" customHeight="1">
      <c r="D964" s="127"/>
      <c r="E964" s="127"/>
    </row>
    <row r="965" ht="15.75" customHeight="1">
      <c r="D965" s="127"/>
      <c r="E965" s="127"/>
    </row>
    <row r="966" ht="15.75" customHeight="1">
      <c r="D966" s="127"/>
      <c r="E966" s="127"/>
    </row>
    <row r="967" ht="15.75" customHeight="1">
      <c r="D967" s="127"/>
      <c r="E967" s="127"/>
    </row>
    <row r="968" ht="15.75" customHeight="1">
      <c r="D968" s="127"/>
      <c r="E968" s="127"/>
    </row>
    <row r="969" ht="15.75" customHeight="1">
      <c r="D969" s="127"/>
      <c r="E969" s="127"/>
    </row>
    <row r="970" ht="15.75" customHeight="1">
      <c r="D970" s="127"/>
      <c r="E970" s="127"/>
    </row>
    <row r="971" ht="15.75" customHeight="1">
      <c r="D971" s="127"/>
      <c r="E971" s="127"/>
    </row>
    <row r="972" ht="15.75" customHeight="1">
      <c r="D972" s="127"/>
      <c r="E972" s="127"/>
    </row>
    <row r="973" ht="15.75" customHeight="1">
      <c r="D973" s="127"/>
      <c r="E973" s="127"/>
    </row>
    <row r="974" ht="15.75" customHeight="1">
      <c r="D974" s="127"/>
      <c r="E974" s="127"/>
    </row>
    <row r="975" ht="15.75" customHeight="1">
      <c r="D975" s="127"/>
      <c r="E975" s="127"/>
    </row>
    <row r="976" ht="15.75" customHeight="1">
      <c r="D976" s="127"/>
      <c r="E976" s="127"/>
    </row>
    <row r="977" ht="15.75" customHeight="1">
      <c r="D977" s="127"/>
      <c r="E977" s="127"/>
    </row>
    <row r="978" ht="15.75" customHeight="1">
      <c r="D978" s="127"/>
      <c r="E978" s="127"/>
    </row>
    <row r="979" ht="15.75" customHeight="1">
      <c r="D979" s="127"/>
      <c r="E979" s="127"/>
    </row>
    <row r="980" ht="15.75" customHeight="1">
      <c r="D980" s="127"/>
      <c r="E980" s="127"/>
    </row>
    <row r="981" ht="15.75" customHeight="1">
      <c r="D981" s="127"/>
      <c r="E981" s="127"/>
    </row>
    <row r="982" ht="15.75" customHeight="1">
      <c r="D982" s="127"/>
      <c r="E982" s="127"/>
    </row>
    <row r="983" ht="15.75" customHeight="1">
      <c r="D983" s="127"/>
      <c r="E983" s="127"/>
    </row>
    <row r="984" ht="15.75" customHeight="1">
      <c r="D984" s="127"/>
      <c r="E984" s="127"/>
    </row>
    <row r="985" ht="15.75" customHeight="1">
      <c r="D985" s="127"/>
      <c r="E985" s="127"/>
    </row>
    <row r="986" ht="15.75" customHeight="1">
      <c r="D986" s="127"/>
      <c r="E986" s="127"/>
    </row>
    <row r="987" ht="15.75" customHeight="1">
      <c r="D987" s="127"/>
      <c r="E987" s="127"/>
    </row>
    <row r="988" ht="15.75" customHeight="1">
      <c r="D988" s="127"/>
      <c r="E988" s="127"/>
    </row>
    <row r="989" ht="15.75" customHeight="1">
      <c r="D989" s="127"/>
      <c r="E989" s="127"/>
    </row>
    <row r="990" ht="15.75" customHeight="1">
      <c r="D990" s="127"/>
      <c r="E990" s="127"/>
    </row>
    <row r="991" ht="15.75" customHeight="1">
      <c r="D991" s="127"/>
      <c r="E991" s="127"/>
    </row>
    <row r="992" ht="15.75" customHeight="1">
      <c r="D992" s="127"/>
      <c r="E992" s="127"/>
    </row>
    <row r="993" ht="15.75" customHeight="1">
      <c r="D993" s="127"/>
      <c r="E993" s="127"/>
    </row>
    <row r="994" ht="15.75" customHeight="1">
      <c r="D994" s="127"/>
      <c r="E994" s="127"/>
    </row>
    <row r="995" ht="15.75" customHeight="1">
      <c r="D995" s="127"/>
      <c r="E995" s="127"/>
    </row>
    <row r="996" ht="15.75" customHeight="1">
      <c r="D996" s="127"/>
      <c r="E996" s="127"/>
    </row>
    <row r="997" ht="15.75" customHeight="1">
      <c r="D997" s="127"/>
      <c r="E997" s="127"/>
    </row>
    <row r="998" ht="15.75" customHeight="1">
      <c r="D998" s="127"/>
      <c r="E998" s="127"/>
    </row>
    <row r="999" ht="15.75" customHeight="1">
      <c r="D999" s="127"/>
      <c r="E999" s="127"/>
    </row>
    <row r="1000" ht="15.75" customHeight="1">
      <c r="D1000" s="127"/>
      <c r="E1000" s="127"/>
    </row>
  </sheetData>
  <autoFilter ref="$A$2:$E$173">
    <sortState ref="A2:E173">
      <sortCondition ref="C2:C17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2018-12-10T15:37:19Z</dcterms:created>
  <dc:creator>Thomas Kachadurian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0x010100C33A717D7D75FE4AB74879D673AF3505</vt:lpwstr>
  </property>
  <property fmtid="{D5CDD505-2E9C-101B-9397-08002B2CF9AE}" pid="3" name="MediaServiceImageTags">
    <vt:lpwstr/>
  </property>
</Properties>
</file>